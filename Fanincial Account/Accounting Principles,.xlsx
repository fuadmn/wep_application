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3"/>
  </bookViews>
  <sheets>
    <sheet name="Sheet1" sheetId="1" r:id="rId1"/>
    <sheet name="2 Recording Process" sheetId="2" r:id="rId2"/>
    <sheet name="3 Adjusting the Accounts" sheetId="6" r:id="rId3"/>
    <sheet name="Sheet2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42" i="6" l="1"/>
  <c r="BE42" i="6" s="1"/>
  <c r="BD43" i="6"/>
  <c r="CE17" i="6"/>
  <c r="BE43" i="6" l="1"/>
  <c r="BE44" i="6" s="1"/>
  <c r="BE45" i="6" s="1"/>
  <c r="O18" i="6" s="1"/>
  <c r="I18" i="6" s="1"/>
  <c r="BD34" i="6"/>
  <c r="BE34" i="6" s="1"/>
  <c r="BD35" i="6"/>
  <c r="CE62" i="6"/>
  <c r="CG62" i="6" s="1"/>
  <c r="CG63" i="6" s="1"/>
  <c r="CG64" i="6" s="1"/>
  <c r="CG65" i="6" s="1"/>
  <c r="CG66" i="6" s="1"/>
  <c r="BY9" i="6"/>
  <c r="AA7" i="6"/>
  <c r="AC7" i="6" s="1"/>
  <c r="AC8" i="6" s="1"/>
  <c r="AC9" i="6" s="1"/>
  <c r="AC10" i="6" s="1"/>
  <c r="AC11" i="6" s="1"/>
  <c r="M8" i="6" s="1"/>
  <c r="BX8" i="6"/>
  <c r="BD26" i="6"/>
  <c r="BE35" i="6" l="1"/>
  <c r="BE36" i="6" s="1"/>
  <c r="BE37" i="6" s="1"/>
  <c r="M26" i="6" s="1"/>
  <c r="I29" i="6" s="1"/>
  <c r="AV16" i="6"/>
  <c r="CE53" i="6"/>
  <c r="O16" i="6" l="1"/>
  <c r="I20" i="6" s="1"/>
  <c r="AX16" i="6"/>
  <c r="AX17" i="6" s="1"/>
  <c r="AX18" i="6" s="1"/>
  <c r="AX19" i="6" s="1"/>
  <c r="AX20" i="6" s="1"/>
  <c r="O12" i="6" s="1"/>
  <c r="CG53" i="6"/>
  <c r="CG54" i="6" s="1"/>
  <c r="CG55" i="6" s="1"/>
  <c r="CG56" i="6" s="1"/>
  <c r="CG57" i="6" s="1"/>
  <c r="M27" i="6" s="1"/>
  <c r="CE44" i="6"/>
  <c r="CG44" i="6" s="1"/>
  <c r="CG45" i="6" s="1"/>
  <c r="CG46" i="6" s="1"/>
  <c r="CG47" i="6" s="1"/>
  <c r="CG48" i="6" s="1"/>
  <c r="M25" i="6" s="1"/>
  <c r="AP8" i="6"/>
  <c r="CE35" i="6"/>
  <c r="CG35" i="6" s="1"/>
  <c r="CG36" i="6" s="1"/>
  <c r="CG37" i="6" s="1"/>
  <c r="CG38" i="6" s="1"/>
  <c r="CG39" i="6" s="1"/>
  <c r="M23" i="6" s="1"/>
  <c r="I32" i="6" s="1"/>
  <c r="AI8" i="6"/>
  <c r="AH7" i="6" l="1"/>
  <c r="CG25" i="6" l="1"/>
  <c r="CG26" i="6" s="1"/>
  <c r="CG27" i="6" s="1"/>
  <c r="CG28" i="6" s="1"/>
  <c r="CG29" i="6" s="1"/>
  <c r="I30" i="6" l="1"/>
  <c r="I31" i="6" l="1"/>
  <c r="I11" i="6"/>
  <c r="I6" i="6"/>
  <c r="BD25" i="6" l="1"/>
  <c r="BE25" i="6" s="1"/>
  <c r="BE26" i="6" s="1"/>
  <c r="BE27" i="6" s="1"/>
  <c r="BE28" i="6" s="1"/>
  <c r="BE29" i="6" s="1"/>
  <c r="CE16" i="6"/>
  <c r="CG16" i="6" s="1"/>
  <c r="CG17" i="6" s="1"/>
  <c r="CG18" i="6" s="1"/>
  <c r="CG19" i="6" s="1"/>
  <c r="CG20" i="6" s="1"/>
  <c r="BD16" i="6"/>
  <c r="BE16" i="6" s="1"/>
  <c r="BE17" i="6" s="1"/>
  <c r="BE18" i="6" s="1"/>
  <c r="BE19" i="6" s="1"/>
  <c r="BE20" i="6" s="1"/>
  <c r="T13" i="6"/>
  <c r="U12" i="6"/>
  <c r="U11" i="6"/>
  <c r="U10" i="6"/>
  <c r="U9" i="6"/>
  <c r="T8" i="6"/>
  <c r="CE7" i="6"/>
  <c r="CG7" i="6" s="1"/>
  <c r="CG8" i="6" s="1"/>
  <c r="CG9" i="6" s="1"/>
  <c r="CG10" i="6" s="1"/>
  <c r="CG11" i="6" s="1"/>
  <c r="BY7" i="6"/>
  <c r="BZ7" i="6" s="1"/>
  <c r="BZ8" i="6" s="1"/>
  <c r="BZ9" i="6" s="1"/>
  <c r="BZ10" i="6" s="1"/>
  <c r="BZ11" i="6" s="1"/>
  <c r="BQ7" i="6"/>
  <c r="BS7" i="6" s="1"/>
  <c r="BS8" i="6" s="1"/>
  <c r="BS9" i="6" s="1"/>
  <c r="BS10" i="6" s="1"/>
  <c r="BS11" i="6" s="1"/>
  <c r="BK7" i="6"/>
  <c r="BL7" i="6" s="1"/>
  <c r="BL8" i="6" s="1"/>
  <c r="BL9" i="6" s="1"/>
  <c r="BL10" i="6" s="1"/>
  <c r="BL11" i="6" s="1"/>
  <c r="BD7" i="6"/>
  <c r="BE7" i="6" s="1"/>
  <c r="BE8" i="6" s="1"/>
  <c r="BE9" i="6" s="1"/>
  <c r="BE10" i="6" s="1"/>
  <c r="BE11" i="6" s="1"/>
  <c r="AV7" i="6"/>
  <c r="AX7" i="6" s="1"/>
  <c r="AX8" i="6" s="1"/>
  <c r="AX9" i="6" s="1"/>
  <c r="AX10" i="6" s="1"/>
  <c r="AX11" i="6" s="1"/>
  <c r="AO7" i="6"/>
  <c r="AQ7" i="6" s="1"/>
  <c r="AQ8" i="6" s="1"/>
  <c r="AQ9" i="6" s="1"/>
  <c r="AQ10" i="6" s="1"/>
  <c r="AQ11" i="6" s="1"/>
  <c r="AJ7" i="6"/>
  <c r="AJ8" i="6" s="1"/>
  <c r="AJ9" i="6" s="1"/>
  <c r="AJ10" i="6" s="1"/>
  <c r="AJ11" i="6" s="1"/>
  <c r="M9" i="6" s="1"/>
  <c r="T7" i="6"/>
  <c r="V7" i="6" s="1"/>
  <c r="M10" i="6" l="1"/>
  <c r="I8" i="6" s="1"/>
  <c r="M11" i="6"/>
  <c r="I10" i="6" s="1"/>
  <c r="I12" i="6" s="1"/>
  <c r="I7" i="6"/>
  <c r="M24" i="6"/>
  <c r="I27" i="6" s="1"/>
  <c r="M22" i="6"/>
  <c r="I28" i="6" s="1"/>
  <c r="O19" i="6"/>
  <c r="I23" i="6" s="1"/>
  <c r="O15" i="6"/>
  <c r="I17" i="6" s="1"/>
  <c r="O13" i="6"/>
  <c r="M20" i="6"/>
  <c r="I24" i="6" s="1"/>
  <c r="O21" i="6"/>
  <c r="I25" i="6" s="1"/>
  <c r="O14" i="6"/>
  <c r="I19" i="6" s="1"/>
  <c r="V8" i="6"/>
  <c r="V9" i="6" s="1"/>
  <c r="V10" i="6" s="1"/>
  <c r="V11" i="6" s="1"/>
  <c r="V12" i="6" s="1"/>
  <c r="V13" i="6" s="1"/>
  <c r="V14" i="6" s="1"/>
  <c r="V15" i="6" s="1"/>
  <c r="V16" i="6" s="1"/>
  <c r="V17" i="6" s="1"/>
  <c r="I16" i="6" l="1"/>
  <c r="I21" i="6" s="1"/>
  <c r="I33" i="6"/>
  <c r="I35" i="6" s="1"/>
  <c r="M7" i="6"/>
  <c r="I36" i="6" l="1"/>
  <c r="I5" i="6"/>
  <c r="U6" i="2"/>
  <c r="W6" i="2" s="1"/>
  <c r="AB6" i="2"/>
  <c r="AD6" i="2" s="1"/>
  <c r="AD7" i="2" s="1"/>
  <c r="AD8" i="2" s="1"/>
  <c r="AD9" i="2" s="1"/>
  <c r="AD10" i="2" s="1"/>
  <c r="AI6" i="2"/>
  <c r="AK6" i="2" s="1"/>
  <c r="AK7" i="2" s="1"/>
  <c r="AK8" i="2" s="1"/>
  <c r="AK9" i="2" s="1"/>
  <c r="AK10" i="2" s="1"/>
  <c r="AP6" i="2"/>
  <c r="AR6" i="2" s="1"/>
  <c r="AR7" i="2" s="1"/>
  <c r="AR8" i="2" s="1"/>
  <c r="AR9" i="2" s="1"/>
  <c r="AR10" i="2" s="1"/>
  <c r="AX6" i="2"/>
  <c r="AY6" i="2" s="1"/>
  <c r="AY7" i="2" s="1"/>
  <c r="AY8" i="2" s="1"/>
  <c r="AY9" i="2" s="1"/>
  <c r="AY10" i="2" s="1"/>
  <c r="BE6" i="2"/>
  <c r="BF6" i="2" s="1"/>
  <c r="BF7" i="2" s="1"/>
  <c r="BF8" i="2" s="1"/>
  <c r="BF9" i="2" s="1"/>
  <c r="BF10" i="2" s="1"/>
  <c r="BK6" i="2"/>
  <c r="BM6" i="2" s="1"/>
  <c r="BM7" i="2" s="1"/>
  <c r="BM8" i="2" s="1"/>
  <c r="BM9" i="2" s="1"/>
  <c r="BM10" i="2" s="1"/>
  <c r="BS6" i="2"/>
  <c r="BT6" i="2" s="1"/>
  <c r="BT7" i="2" s="1"/>
  <c r="BT8" i="2" s="1"/>
  <c r="BT9" i="2" s="1"/>
  <c r="BT10" i="2" s="1"/>
  <c r="BY6" i="2"/>
  <c r="CA6" i="2" s="1"/>
  <c r="CA7" i="2" s="1"/>
  <c r="CA8" i="2" s="1"/>
  <c r="CA9" i="2" s="1"/>
  <c r="CA10" i="2" s="1"/>
  <c r="U7" i="2"/>
  <c r="V8" i="2"/>
  <c r="V9" i="2"/>
  <c r="V10" i="2"/>
  <c r="V11" i="2"/>
  <c r="U12" i="2"/>
  <c r="AX15" i="2"/>
  <c r="AY15" i="2" s="1"/>
  <c r="AY16" i="2" s="1"/>
  <c r="AY17" i="2" s="1"/>
  <c r="AY18" i="2" s="1"/>
  <c r="AY19" i="2" s="1"/>
  <c r="BY15" i="2"/>
  <c r="CA15" i="2" s="1"/>
  <c r="CA16" i="2" s="1"/>
  <c r="CA17" i="2" s="1"/>
  <c r="CA18" i="2" s="1"/>
  <c r="CA19" i="2" s="1"/>
  <c r="AX24" i="2"/>
  <c r="AY24" i="2" s="1"/>
  <c r="AY25" i="2" s="1"/>
  <c r="AY26" i="2" s="1"/>
  <c r="AY27" i="2" s="1"/>
  <c r="AY28" i="2" s="1"/>
  <c r="I13" i="6" l="1"/>
  <c r="W7" i="2"/>
  <c r="W8" i="2" s="1"/>
  <c r="W9" i="2" s="1"/>
  <c r="W10" i="2" s="1"/>
  <c r="W11" i="2" s="1"/>
  <c r="W12" i="2" s="1"/>
  <c r="W13" i="2" s="1"/>
  <c r="W14" i="2" s="1"/>
  <c r="W15" i="2" s="1"/>
  <c r="W16" i="2" s="1"/>
  <c r="J12" i="2" l="1"/>
  <c r="P11" i="2" s="1"/>
  <c r="J13" i="2"/>
  <c r="P12" i="2" s="1"/>
  <c r="J11" i="2"/>
  <c r="P10" i="2" s="1"/>
  <c r="J18" i="2"/>
  <c r="P15" i="2" s="1"/>
  <c r="J21" i="2"/>
  <c r="N16" i="2" s="1"/>
  <c r="J17" i="2"/>
  <c r="N14" i="2" s="1"/>
  <c r="J6" i="2"/>
  <c r="N8" i="2" s="1"/>
  <c r="J5" i="2"/>
  <c r="N7" i="2" s="1"/>
  <c r="J20" i="2"/>
  <c r="J7" i="2"/>
  <c r="N9" i="2" s="1"/>
  <c r="J16" i="2"/>
  <c r="N17" i="2" l="1"/>
  <c r="J22" i="2"/>
  <c r="J23" i="2" s="1"/>
  <c r="P13" i="2"/>
  <c r="P18" i="2" s="1"/>
  <c r="J14" i="2"/>
  <c r="BV39" i="1"/>
  <c r="BV40" i="1" s="1"/>
  <c r="BV41" i="1" s="1"/>
  <c r="BV42" i="1" s="1"/>
  <c r="BV43" i="1" s="1"/>
  <c r="BV31" i="1"/>
  <c r="BV32" i="1" s="1"/>
  <c r="BV33" i="1" s="1"/>
  <c r="BV34" i="1" s="1"/>
  <c r="BV35" i="1" s="1"/>
  <c r="BV23" i="1"/>
  <c r="BV24" i="1" s="1"/>
  <c r="BV25" i="1" s="1"/>
  <c r="BV26" i="1" s="1"/>
  <c r="BV27" i="1" s="1"/>
  <c r="BV15" i="1"/>
  <c r="BV16" i="1" s="1"/>
  <c r="BV17" i="1" s="1"/>
  <c r="BV18" i="1" s="1"/>
  <c r="BV19" i="1" s="1"/>
  <c r="J24" i="2" l="1"/>
  <c r="J4" i="2"/>
  <c r="N6" i="2" s="1"/>
  <c r="N18" i="2" s="1"/>
  <c r="AZ32" i="1"/>
  <c r="BO7" i="1"/>
  <c r="AT7" i="1"/>
  <c r="BA7" i="1"/>
  <c r="J8" i="2" l="1"/>
  <c r="AM7" i="1"/>
  <c r="AM8" i="1" s="1"/>
  <c r="AM9" i="1" s="1"/>
  <c r="AM10" i="1" s="1"/>
  <c r="AM11" i="1" s="1"/>
  <c r="AZ22" i="1" s="1"/>
  <c r="AF7" i="1"/>
  <c r="AF8" i="1" s="1"/>
  <c r="AF9" i="1" s="1"/>
  <c r="AF10" i="1" s="1"/>
  <c r="AF11" i="1" s="1"/>
  <c r="AZ21" i="1" s="1"/>
  <c r="Y7" i="1"/>
  <c r="Y8" i="1" s="1"/>
  <c r="Y9" i="1" s="1"/>
  <c r="Y10" i="1" s="1"/>
  <c r="Y11" i="1" s="1"/>
  <c r="AZ20" i="1" s="1"/>
  <c r="BA8" i="1"/>
  <c r="BA9" i="1" s="1"/>
  <c r="BA10" i="1" s="1"/>
  <c r="BA11" i="1" s="1"/>
  <c r="AZ29" i="1" s="1"/>
  <c r="BH7" i="1"/>
  <c r="BH8" i="1" s="1"/>
  <c r="BH9" i="1" s="1"/>
  <c r="BH10" i="1" s="1"/>
  <c r="BH11" i="1" s="1"/>
  <c r="AZ30" i="1" s="1"/>
  <c r="BV7" i="1"/>
  <c r="BV8" i="1" s="1"/>
  <c r="BV9" i="1" s="1"/>
  <c r="BV10" i="1" s="1"/>
  <c r="BV11" i="1" s="1"/>
  <c r="BO8" i="1"/>
  <c r="BO9" i="1" s="1"/>
  <c r="BO10" i="1" s="1"/>
  <c r="BO11" i="1" s="1"/>
  <c r="AZ31" i="1" s="1"/>
  <c r="AT8" i="1"/>
  <c r="AT9" i="1" s="1"/>
  <c r="AT10" i="1" s="1"/>
  <c r="AT11" i="1" s="1"/>
  <c r="R7" i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AZ19" i="1" s="1"/>
  <c r="AZ33" i="1" l="1"/>
  <c r="AZ26" i="1"/>
  <c r="AZ27" i="1" s="1"/>
  <c r="AZ23" i="1"/>
  <c r="AZ34" i="1" l="1"/>
  <c r="O30" i="6"/>
  <c r="M30" i="6"/>
</calcChain>
</file>

<file path=xl/sharedStrings.xml><?xml version="1.0" encoding="utf-8"?>
<sst xmlns="http://schemas.openxmlformats.org/spreadsheetml/2006/main" count="738" uniqueCount="167">
  <si>
    <t>Assets</t>
  </si>
  <si>
    <t>Liabilities</t>
  </si>
  <si>
    <t>Owner's and Stockholders' Equity</t>
  </si>
  <si>
    <t>Revemues</t>
  </si>
  <si>
    <t>Expenses</t>
  </si>
  <si>
    <t>CHART OF ACCOUNTS</t>
  </si>
  <si>
    <t>Cash</t>
  </si>
  <si>
    <t>Accounts Receivable</t>
  </si>
  <si>
    <t>Allowance for Doubful Accounts</t>
  </si>
  <si>
    <t>Interest Receivable</t>
  </si>
  <si>
    <t>Inventory</t>
  </si>
  <si>
    <t>Supplies</t>
  </si>
  <si>
    <t>Prepaid Rent</t>
  </si>
  <si>
    <t>Land</t>
  </si>
  <si>
    <t>Equipment</t>
  </si>
  <si>
    <t>Accumulated Depreciation--Equipment</t>
  </si>
  <si>
    <t>Building</t>
  </si>
  <si>
    <t>Accumulated Depreciation--Building</t>
  </si>
  <si>
    <t>Copyrights</t>
  </si>
  <si>
    <t>Goodwill</t>
  </si>
  <si>
    <t>Patents</t>
  </si>
  <si>
    <t>Notes Payable</t>
  </si>
  <si>
    <t>Accounts  Payable</t>
  </si>
  <si>
    <t>Unearned Service Revenue</t>
  </si>
  <si>
    <t>Unearned Rent Revenue</t>
  </si>
  <si>
    <t>Interesrt  Payable</t>
  </si>
  <si>
    <t>Dividends Payable</t>
  </si>
  <si>
    <t>Income Taxes Payable</t>
  </si>
  <si>
    <t>Bonds Payable</t>
  </si>
  <si>
    <t>Discount on Bonds Payable</t>
  </si>
  <si>
    <t>Premium on Bonds Payable</t>
  </si>
  <si>
    <t>Mortage Payable</t>
  </si>
  <si>
    <t>Owner's Capital</t>
  </si>
  <si>
    <t xml:space="preserve"> Owner's Drawings</t>
  </si>
  <si>
    <t>Common Stock</t>
  </si>
  <si>
    <t>Paid-in Capital in Excess of Par---Common Stock</t>
  </si>
  <si>
    <t>Preferred Stock</t>
  </si>
  <si>
    <t>Paid-in Capital in Excess of Par---Preferred Stock</t>
  </si>
  <si>
    <t>Treasury Stock</t>
  </si>
  <si>
    <t>Retained Earnings</t>
  </si>
  <si>
    <t>Dividends</t>
  </si>
  <si>
    <t>Income Summary</t>
  </si>
  <si>
    <t>Serice Revenue</t>
  </si>
  <si>
    <t>Sales Revenue</t>
  </si>
  <si>
    <t>Sales Returns and Allowances</t>
  </si>
  <si>
    <t>Interest Revenue</t>
  </si>
  <si>
    <t>Gain on Disposal of Pant Assests</t>
  </si>
  <si>
    <t>Advertising Expenses</t>
  </si>
  <si>
    <t>Amortization Expenses</t>
  </si>
  <si>
    <t>Bad Debt Expenses</t>
  </si>
  <si>
    <t>Cost of Goods Sold</t>
  </si>
  <si>
    <t>Depreciation Expenses</t>
  </si>
  <si>
    <t>Freight-Out</t>
  </si>
  <si>
    <t>Income Tax Expenses</t>
  </si>
  <si>
    <t>Insurance Expenses</t>
  </si>
  <si>
    <t>Interst Expenses</t>
  </si>
  <si>
    <t>Loss  on Disposal of Plant Assets</t>
  </si>
  <si>
    <t>Maintenance and Repairs Expenses</t>
  </si>
  <si>
    <t>Rent Expenses</t>
  </si>
  <si>
    <t>Salaries and Wages Expenses</t>
  </si>
  <si>
    <t>Supplies Expenses</t>
  </si>
  <si>
    <t>Utulities Expenses</t>
  </si>
  <si>
    <t>Date</t>
  </si>
  <si>
    <t>Explanation</t>
  </si>
  <si>
    <t>Red.</t>
  </si>
  <si>
    <t>Balance</t>
  </si>
  <si>
    <t>Debit +</t>
  </si>
  <si>
    <t>Credit -</t>
  </si>
  <si>
    <t>=</t>
  </si>
  <si>
    <t>+</t>
  </si>
  <si>
    <t>Debit -</t>
  </si>
  <si>
    <t>Credit +</t>
  </si>
  <si>
    <t>Owner'sEquity</t>
  </si>
  <si>
    <t>Owner's Drawings</t>
  </si>
  <si>
    <t>Revenue</t>
  </si>
  <si>
    <t>Expense</t>
  </si>
  <si>
    <t>Total Assets</t>
  </si>
  <si>
    <t>Total Owner'sEquity And Liabilities</t>
  </si>
  <si>
    <t>Total Liabilities</t>
  </si>
  <si>
    <t xml:space="preserve">Total Owner'sEquity </t>
  </si>
  <si>
    <t>Adver Expense</t>
  </si>
  <si>
    <t>Service Expense</t>
  </si>
  <si>
    <t>Rent Expense</t>
  </si>
  <si>
    <t>No</t>
  </si>
  <si>
    <t xml:space="preserve">Debit </t>
  </si>
  <si>
    <t>Credit</t>
  </si>
  <si>
    <t>Account Titles and Explanation</t>
  </si>
  <si>
    <t>CGENERAL JOURNAL</t>
  </si>
  <si>
    <t>2025 Oct.1</t>
  </si>
  <si>
    <t>N0:</t>
  </si>
  <si>
    <t xml:space="preserve">    Owner's Capital</t>
  </si>
  <si>
    <t xml:space="preserve">         (Owner's investment of cash in busniss)</t>
  </si>
  <si>
    <t xml:space="preserve">    Notes  Payable</t>
  </si>
  <si>
    <t xml:space="preserve">         (Issured 3-month 12% note for offce)</t>
  </si>
  <si>
    <t>Notes  Payable</t>
  </si>
  <si>
    <t xml:space="preserve">    Unearned Service Revenue</t>
  </si>
  <si>
    <t xml:space="preserve">         (Received cash from R.Knox for future service)</t>
  </si>
  <si>
    <t>PAGE</t>
  </si>
  <si>
    <t>J1</t>
  </si>
  <si>
    <t xml:space="preserve">    Cash</t>
  </si>
  <si>
    <t xml:space="preserve">         (Paid October rent)</t>
  </si>
  <si>
    <t>Prepaid Insurance</t>
  </si>
  <si>
    <t xml:space="preserve">         (Paid one-year policy rffective date October 1)</t>
  </si>
  <si>
    <t xml:space="preserve">    Accounts Payable</t>
  </si>
  <si>
    <t xml:space="preserve">         (Purchased supplies on account from Aero Supply)</t>
  </si>
  <si>
    <t xml:space="preserve">         (Paid salaries to date)</t>
  </si>
  <si>
    <t>Serive Revenue</t>
  </si>
  <si>
    <t xml:space="preserve">    Serive Revenue</t>
  </si>
  <si>
    <t>Account Payable</t>
  </si>
  <si>
    <t xml:space="preserve">  Prepaid Insurance</t>
  </si>
  <si>
    <t xml:space="preserve">  Unearned Service Revenue</t>
  </si>
  <si>
    <t>Trial Balance</t>
  </si>
  <si>
    <t>Debit</t>
  </si>
  <si>
    <t xml:space="preserve">  Salaries and Wages Expenses</t>
  </si>
  <si>
    <t>Octorber 31,2025</t>
  </si>
  <si>
    <t>Ref.</t>
  </si>
  <si>
    <t>-</t>
  </si>
  <si>
    <t>Adjusting Entries</t>
  </si>
  <si>
    <t>Supplies Expense</t>
  </si>
  <si>
    <t xml:space="preserve">     Supplies </t>
  </si>
  <si>
    <t>2025 Oct.31</t>
  </si>
  <si>
    <t xml:space="preserve">    Prepaid Insurance</t>
  </si>
  <si>
    <t>J2</t>
  </si>
  <si>
    <t xml:space="preserve">     Accumulated Depreciation--Equipment</t>
  </si>
  <si>
    <t xml:space="preserve">     (To record to revevue for servicess)</t>
  </si>
  <si>
    <t xml:space="preserve">      Service Revenue</t>
  </si>
  <si>
    <t xml:space="preserve">     (To record revevue for servicess)</t>
  </si>
  <si>
    <t>Interest Expense</t>
  </si>
  <si>
    <t xml:space="preserve">    Interest Payable</t>
  </si>
  <si>
    <t xml:space="preserve">     (To record revevue Wages servicess)</t>
  </si>
  <si>
    <t>(To record supplies used)</t>
  </si>
  <si>
    <t>(To record monthly deprecation)</t>
  </si>
  <si>
    <t xml:space="preserve">           Salaries and Wages Payable</t>
  </si>
  <si>
    <t xml:space="preserve">   Expense</t>
  </si>
  <si>
    <t xml:space="preserve">       Expense</t>
  </si>
  <si>
    <t xml:space="preserve">    Total Expense</t>
  </si>
  <si>
    <t>Adj.1</t>
  </si>
  <si>
    <t xml:space="preserve">   Insurance Expenses</t>
  </si>
  <si>
    <t xml:space="preserve">   Accumulated Depreciation--Equipment</t>
  </si>
  <si>
    <t xml:space="preserve">     Equipment</t>
  </si>
  <si>
    <t xml:space="preserve">        Accumulated Depreciation--Equipment</t>
  </si>
  <si>
    <t xml:space="preserve">   Equipment</t>
  </si>
  <si>
    <t xml:space="preserve">   Total Equipment</t>
  </si>
  <si>
    <t xml:space="preserve">        Unearned Service Revenue</t>
  </si>
  <si>
    <t xml:space="preserve">     Notes  Payable</t>
  </si>
  <si>
    <t xml:space="preserve">      Accounts  Payable</t>
  </si>
  <si>
    <t xml:space="preserve">         Interest Payable</t>
  </si>
  <si>
    <t xml:space="preserve">      Owner's Capital</t>
  </si>
  <si>
    <t xml:space="preserve">      Owner's Drawings</t>
  </si>
  <si>
    <t xml:space="preserve">      Serive Revenue</t>
  </si>
  <si>
    <t xml:space="preserve">      Rent Expense</t>
  </si>
  <si>
    <t xml:space="preserve">         Salaries and Wages Expenses</t>
  </si>
  <si>
    <t xml:space="preserve">         Interest Expense</t>
  </si>
  <si>
    <t xml:space="preserve">         Insurance Expenses</t>
  </si>
  <si>
    <t xml:space="preserve">         Depreciation Expenses</t>
  </si>
  <si>
    <t xml:space="preserve">        Supplies Expense</t>
  </si>
  <si>
    <t xml:space="preserve">   Total Expense</t>
  </si>
  <si>
    <t>Accounts  Receivable</t>
  </si>
  <si>
    <t>Interest  Payable</t>
  </si>
  <si>
    <t xml:space="preserve">  Salaries and Wages Payable</t>
  </si>
  <si>
    <t>Interest  Expenses</t>
  </si>
  <si>
    <t xml:space="preserve">   Depreciation Expenses</t>
  </si>
  <si>
    <t xml:space="preserve">   Accounts  Receivable</t>
  </si>
  <si>
    <t xml:space="preserve"> Accumulated Depreciation--Equipment</t>
  </si>
  <si>
    <t>Interest Payable</t>
  </si>
  <si>
    <t>Salaries and Wages Payable</t>
  </si>
  <si>
    <t xml:space="preserve">        Salaries and Wages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</si>
</sst>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3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3" xfId="0" applyFill="1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3" fillId="2" borderId="2" xfId="0" applyFont="1" applyFill="1" applyBorder="1"/>
    <xf numFmtId="0" fontId="6" fillId="2" borderId="0" xfId="0" applyFont="1" applyFill="1"/>
    <xf numFmtId="0" fontId="5" fillId="2" borderId="0" xfId="0" applyFont="1" applyFill="1"/>
    <xf numFmtId="0" fontId="5" fillId="2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0" xfId="0" applyFill="1" applyBorder="1"/>
    <xf numFmtId="0" fontId="0" fillId="2" borderId="11" xfId="0" applyFill="1" applyBorder="1"/>
    <xf numFmtId="44" fontId="5" fillId="2" borderId="11" xfId="1" applyFont="1" applyFill="1" applyBorder="1"/>
    <xf numFmtId="0" fontId="5" fillId="2" borderId="1" xfId="0" applyFont="1" applyFill="1" applyBorder="1"/>
    <xf numFmtId="0" fontId="3" fillId="2" borderId="11" xfId="0" applyFont="1" applyFill="1" applyBorder="1"/>
    <xf numFmtId="0" fontId="0" fillId="2" borderId="12" xfId="0" applyFill="1" applyBorder="1"/>
    <xf numFmtId="44" fontId="5" fillId="2" borderId="13" xfId="1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6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5" borderId="18" xfId="0" applyFill="1" applyBorder="1"/>
    <xf numFmtId="0" fontId="0" fillId="4" borderId="18" xfId="0" applyFill="1" applyBorder="1"/>
    <xf numFmtId="0" fontId="0" fillId="7" borderId="18" xfId="0" applyFill="1" applyBorder="1"/>
    <xf numFmtId="0" fontId="0" fillId="6" borderId="19" xfId="0" applyFill="1" applyBorder="1"/>
    <xf numFmtId="0" fontId="2" fillId="2" borderId="3" xfId="0" applyFont="1" applyFill="1" applyBorder="1"/>
    <xf numFmtId="0" fontId="2" fillId="2" borderId="20" xfId="0" applyFont="1" applyFill="1" applyBorder="1"/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left" indent="1"/>
    </xf>
    <xf numFmtId="0" fontId="0" fillId="2" borderId="9" xfId="0" applyFill="1" applyBorder="1" applyAlignment="1">
      <alignment horizontal="left" indent="1"/>
    </xf>
    <xf numFmtId="0" fontId="0" fillId="2" borderId="1" xfId="0" applyFill="1" applyBorder="1" applyAlignment="1">
      <alignment horizontal="left" indent="1"/>
    </xf>
    <xf numFmtId="0" fontId="0" fillId="2" borderId="0" xfId="0" applyFill="1" applyBorder="1" applyAlignment="1">
      <alignment horizontal="left" indent="1"/>
    </xf>
    <xf numFmtId="0" fontId="5" fillId="2" borderId="1" xfId="0" applyFont="1" applyFill="1" applyBorder="1" applyAlignment="1">
      <alignment horizontal="left" indent="1"/>
    </xf>
    <xf numFmtId="14" fontId="0" fillId="2" borderId="2" xfId="0" applyNumberFormat="1" applyFill="1" applyBorder="1" applyAlignment="1">
      <alignment horizontal="left" indent="2"/>
    </xf>
    <xf numFmtId="0" fontId="0" fillId="2" borderId="0" xfId="0" applyFill="1" applyAlignment="1">
      <alignment horizontal="right"/>
    </xf>
    <xf numFmtId="0" fontId="0" fillId="2" borderId="10" xfId="0" applyFill="1" applyBorder="1" applyAlignment="1">
      <alignment horizontal="right" indent="1"/>
    </xf>
    <xf numFmtId="0" fontId="3" fillId="2" borderId="24" xfId="0" applyFont="1" applyFill="1" applyBorder="1"/>
    <xf numFmtId="0" fontId="4" fillId="8" borderId="5" xfId="0" applyFont="1" applyFill="1" applyBorder="1" applyAlignment="1">
      <alignment horizontal="right"/>
    </xf>
    <xf numFmtId="0" fontId="9" fillId="8" borderId="6" xfId="0" applyFont="1" applyFill="1" applyBorder="1" applyAlignment="1">
      <alignment horizontal="left"/>
    </xf>
    <xf numFmtId="3" fontId="0" fillId="2" borderId="2" xfId="0" applyNumberFormat="1" applyFill="1" applyBorder="1"/>
    <xf numFmtId="0" fontId="8" fillId="8" borderId="22" xfId="0" applyFont="1" applyFill="1" applyBorder="1" applyAlignment="1">
      <alignment horizontal="right"/>
    </xf>
    <xf numFmtId="0" fontId="1" fillId="8" borderId="23" xfId="0" applyFont="1" applyFill="1" applyBorder="1" applyAlignment="1"/>
    <xf numFmtId="0" fontId="0" fillId="2" borderId="11" xfId="0" applyFill="1" applyBorder="1" applyAlignment="1"/>
    <xf numFmtId="44" fontId="5" fillId="2" borderId="11" xfId="1" applyFont="1" applyFill="1" applyBorder="1" applyAlignment="1"/>
    <xf numFmtId="0" fontId="3" fillId="2" borderId="11" xfId="0" applyFont="1" applyFill="1" applyBorder="1" applyAlignment="1"/>
    <xf numFmtId="44" fontId="5" fillId="2" borderId="13" xfId="1" applyFont="1" applyFill="1" applyBorder="1" applyAlignment="1"/>
    <xf numFmtId="0" fontId="0" fillId="2" borderId="11" xfId="0" applyFill="1" applyBorder="1" applyAlignment="1">
      <alignment horizontal="right"/>
    </xf>
    <xf numFmtId="3" fontId="0" fillId="2" borderId="11" xfId="0" applyNumberFormat="1" applyFill="1" applyBorder="1"/>
    <xf numFmtId="0" fontId="0" fillId="2" borderId="13" xfId="0" applyFill="1" applyBorder="1"/>
    <xf numFmtId="0" fontId="0" fillId="2" borderId="0" xfId="0" applyFill="1" applyBorder="1" applyAlignment="1">
      <alignment horizontal="right" indent="1"/>
    </xf>
    <xf numFmtId="0" fontId="0" fillId="2" borderId="0" xfId="0" applyFill="1" applyBorder="1" applyAlignment="1"/>
    <xf numFmtId="0" fontId="0" fillId="2" borderId="0" xfId="0" applyFill="1" applyBorder="1" applyAlignment="1">
      <alignment horizontal="right"/>
    </xf>
    <xf numFmtId="44" fontId="5" fillId="2" borderId="0" xfId="1" applyFont="1" applyFill="1" applyBorder="1" applyAlignment="1"/>
    <xf numFmtId="0" fontId="3" fillId="2" borderId="0" xfId="0" applyFont="1" applyFill="1" applyBorder="1" applyAlignment="1"/>
    <xf numFmtId="0" fontId="5" fillId="2" borderId="25" xfId="0" applyFont="1" applyFill="1" applyBorder="1" applyAlignment="1"/>
    <xf numFmtId="0" fontId="5" fillId="2" borderId="0" xfId="0" applyFont="1" applyFill="1" applyBorder="1" applyAlignment="1"/>
    <xf numFmtId="0" fontId="0" fillId="2" borderId="1" xfId="0" applyFill="1" applyBorder="1" applyAlignment="1">
      <alignment horizontal="right"/>
    </xf>
    <xf numFmtId="0" fontId="0" fillId="2" borderId="1" xfId="0" applyFill="1" applyBorder="1" applyAlignment="1"/>
    <xf numFmtId="0" fontId="5" fillId="2" borderId="26" xfId="0" applyFont="1" applyFill="1" applyBorder="1" applyAlignment="1"/>
    <xf numFmtId="0" fontId="0" fillId="2" borderId="3" xfId="0" applyFill="1" applyBorder="1" applyAlignment="1"/>
    <xf numFmtId="0" fontId="0" fillId="2" borderId="12" xfId="0" applyFill="1" applyBorder="1" applyAlignment="1"/>
    <xf numFmtId="0" fontId="0" fillId="2" borderId="13" xfId="0" applyFill="1" applyBorder="1" applyAlignment="1"/>
    <xf numFmtId="0" fontId="10" fillId="2" borderId="12" xfId="0" applyFont="1" applyFill="1" applyBorder="1" applyAlignment="1">
      <alignment horizontal="right"/>
    </xf>
    <xf numFmtId="0" fontId="10" fillId="2" borderId="0" xfId="0" applyFont="1" applyFill="1" applyBorder="1" applyAlignment="1">
      <alignment horizontal="right"/>
    </xf>
    <xf numFmtId="0" fontId="10" fillId="2" borderId="13" xfId="0" applyFont="1" applyFill="1" applyBorder="1" applyAlignment="1">
      <alignment horizontal="right"/>
    </xf>
    <xf numFmtId="0" fontId="8" fillId="8" borderId="28" xfId="0" applyFont="1" applyFill="1" applyBorder="1" applyAlignment="1">
      <alignment horizontal="right"/>
    </xf>
    <xf numFmtId="0" fontId="1" fillId="8" borderId="29" xfId="0" applyFont="1" applyFill="1" applyBorder="1" applyAlignment="1"/>
    <xf numFmtId="0" fontId="0" fillId="2" borderId="30" xfId="0" applyFill="1" applyBorder="1"/>
    <xf numFmtId="0" fontId="0" fillId="2" borderId="31" xfId="0" applyFill="1" applyBorder="1"/>
    <xf numFmtId="0" fontId="0" fillId="2" borderId="24" xfId="0" applyFill="1" applyBorder="1"/>
    <xf numFmtId="0" fontId="3" fillId="2" borderId="1" xfId="0" applyFont="1" applyFill="1" applyBorder="1"/>
    <xf numFmtId="0" fontId="3" fillId="2" borderId="11" xfId="0" applyFont="1" applyFill="1" applyBorder="1" applyAlignment="1">
      <alignment horizontal="right"/>
    </xf>
    <xf numFmtId="14" fontId="11" fillId="2" borderId="2" xfId="0" applyNumberFormat="1" applyFont="1" applyFill="1" applyBorder="1"/>
    <xf numFmtId="0" fontId="11" fillId="2" borderId="2" xfId="0" applyFont="1" applyFill="1" applyBorder="1"/>
    <xf numFmtId="0" fontId="0" fillId="2" borderId="1" xfId="0" applyFont="1" applyFill="1" applyBorder="1"/>
    <xf numFmtId="0" fontId="12" fillId="2" borderId="11" xfId="0" applyFont="1" applyFill="1" applyBorder="1" applyAlignment="1"/>
    <xf numFmtId="0" fontId="12" fillId="2" borderId="1" xfId="0" applyFont="1" applyFill="1" applyBorder="1" applyAlignment="1">
      <alignment horizontal="left" indent="1"/>
    </xf>
    <xf numFmtId="0" fontId="12" fillId="2" borderId="1" xfId="0" applyFont="1" applyFill="1" applyBorder="1"/>
    <xf numFmtId="0" fontId="12" fillId="2" borderId="11" xfId="0" applyFont="1" applyFill="1" applyBorder="1"/>
    <xf numFmtId="44" fontId="5" fillId="2" borderId="25" xfId="1" applyFont="1" applyFill="1" applyBorder="1" applyAlignment="1"/>
    <xf numFmtId="44" fontId="5" fillId="2" borderId="26" xfId="1" applyFont="1" applyFill="1" applyBorder="1" applyAlignment="1"/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3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left"/>
    </xf>
    <xf numFmtId="0" fontId="3" fillId="2" borderId="30" xfId="0" applyFont="1" applyFill="1" applyBorder="1" applyAlignment="1">
      <alignment horizontal="center"/>
    </xf>
    <xf numFmtId="0" fontId="10" fillId="2" borderId="0" xfId="0" applyFont="1" applyFill="1"/>
    <xf numFmtId="3" fontId="0" fillId="2" borderId="30" xfId="0" applyNumberFormat="1" applyFill="1" applyBorder="1"/>
    <xf numFmtId="3" fontId="0" fillId="2" borderId="31" xfId="0" applyNumberFormat="1" applyFill="1" applyBorder="1"/>
    <xf numFmtId="0" fontId="8" fillId="8" borderId="22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0" fillId="2" borderId="3" xfId="0" applyFill="1" applyBorder="1" applyAlignment="1">
      <alignment horizontal="right"/>
    </xf>
    <xf numFmtId="0" fontId="10" fillId="2" borderId="11" xfId="0" applyFont="1" applyFill="1" applyBorder="1" applyAlignment="1">
      <alignment horizontal="right"/>
    </xf>
    <xf numFmtId="0" fontId="0" fillId="2" borderId="2" xfId="0" applyFill="1" applyBorder="1" applyAlignment="1"/>
    <xf numFmtId="0" fontId="0" fillId="2" borderId="2" xfId="0" applyFill="1" applyBorder="1" applyAlignment="1">
      <alignment horizontal="left" indent="1"/>
    </xf>
    <xf numFmtId="44" fontId="5" fillId="2" borderId="2" xfId="1" applyFont="1" applyFill="1" applyBorder="1" applyAlignment="1"/>
    <xf numFmtId="0" fontId="0" fillId="2" borderId="2" xfId="0" applyFill="1" applyBorder="1" applyAlignment="1">
      <alignment horizontal="right"/>
    </xf>
    <xf numFmtId="0" fontId="3" fillId="2" borderId="2" xfId="0" applyFont="1" applyFill="1" applyBorder="1" applyAlignment="1"/>
    <xf numFmtId="0" fontId="0" fillId="2" borderId="2" xfId="0" applyFont="1" applyFill="1" applyBorder="1"/>
    <xf numFmtId="0" fontId="0" fillId="2" borderId="2" xfId="0" applyFont="1" applyFill="1" applyBorder="1" applyAlignment="1"/>
    <xf numFmtId="0" fontId="0" fillId="2" borderId="2" xfId="0" applyFont="1" applyFill="1" applyBorder="1" applyAlignment="1">
      <alignment horizontal="left"/>
    </xf>
    <xf numFmtId="44" fontId="7" fillId="2" borderId="2" xfId="1" applyFont="1" applyFill="1" applyBorder="1" applyAlignment="1">
      <alignment horizontal="left"/>
    </xf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8" fillId="8" borderId="21" xfId="0" applyFont="1" applyFill="1" applyBorder="1" applyAlignment="1">
      <alignment horizontal="center"/>
    </xf>
    <xf numFmtId="0" fontId="8" fillId="8" borderId="22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8" fillId="8" borderId="2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V43"/>
  <sheetViews>
    <sheetView topLeftCell="AO1" zoomScale="93" zoomScaleNormal="93" workbookViewId="0">
      <selection activeCell="G33" sqref="G33"/>
    </sheetView>
  </sheetViews>
  <sheetFormatPr defaultColWidth="9.1796875" defaultRowHeight="14.5" x14ac:dyDescent="0.35"/>
  <cols>
    <col min="1" max="1" width="9.1796875" style="1"/>
    <col min="2" max="2" width="4.26953125" style="1" bestFit="1" customWidth="1"/>
    <col min="3" max="3" width="34.453125" style="1" customWidth="1"/>
    <col min="4" max="4" width="4.26953125" style="1" bestFit="1" customWidth="1"/>
    <col min="5" max="5" width="27.1796875" style="1" bestFit="1" customWidth="1"/>
    <col min="6" max="6" width="4.26953125" style="1" bestFit="1" customWidth="1"/>
    <col min="7" max="7" width="42.26953125" style="1" customWidth="1"/>
    <col min="8" max="8" width="4.26953125" style="1" bestFit="1" customWidth="1"/>
    <col min="9" max="9" width="28.1796875" style="1" customWidth="1"/>
    <col min="10" max="10" width="4.26953125" style="1" bestFit="1" customWidth="1"/>
    <col min="11" max="11" width="31.453125" style="1" customWidth="1"/>
    <col min="12" max="12" width="11.26953125" style="1" customWidth="1"/>
    <col min="13" max="13" width="9.1796875" style="1"/>
    <col min="14" max="14" width="13" style="1" customWidth="1"/>
    <col min="15" max="15" width="5" style="1" bestFit="1" customWidth="1"/>
    <col min="16" max="18" width="9.1796875" style="1"/>
    <col min="19" max="19" width="2.1796875" style="1" customWidth="1"/>
    <col min="20" max="25" width="9.1796875" style="1"/>
    <col min="26" max="26" width="2.453125" style="1" customWidth="1"/>
    <col min="27" max="32" width="9.1796875" style="1"/>
    <col min="33" max="33" width="2.7265625" style="1" customWidth="1"/>
    <col min="34" max="39" width="9.1796875" style="1"/>
    <col min="40" max="40" width="3" style="1" bestFit="1" customWidth="1"/>
    <col min="41" max="46" width="9.1796875" style="1"/>
    <col min="47" max="47" width="2.54296875" style="1" bestFit="1" customWidth="1"/>
    <col min="48" max="49" width="9.1796875" style="1"/>
    <col min="50" max="50" width="5.1796875" style="1" bestFit="1" customWidth="1"/>
    <col min="51" max="51" width="9.1796875" style="1"/>
    <col min="52" max="52" width="16" style="1" bestFit="1" customWidth="1"/>
    <col min="53" max="53" width="9.1796875" style="1"/>
    <col min="54" max="54" width="2.26953125" style="1" customWidth="1"/>
    <col min="55" max="55" width="9.1796875" style="1"/>
    <col min="56" max="56" width="11.81640625" style="1" bestFit="1" customWidth="1"/>
    <col min="57" max="57" width="5.1796875" style="1" bestFit="1" customWidth="1"/>
    <col min="58" max="59" width="9.1796875" style="1"/>
    <col min="60" max="60" width="9.1796875" style="1" customWidth="1"/>
    <col min="61" max="61" width="2.7265625" style="1" customWidth="1"/>
    <col min="62" max="66" width="9.1796875" style="1"/>
    <col min="67" max="67" width="9.1796875" style="1" customWidth="1"/>
    <col min="68" max="68" width="1.453125" style="1" customWidth="1"/>
    <col min="69" max="16384" width="9.1796875" style="1"/>
  </cols>
  <sheetData>
    <row r="3" spans="2:74" ht="24" thickBot="1" x14ac:dyDescent="0.6">
      <c r="M3" s="124" t="s">
        <v>0</v>
      </c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0" t="s">
        <v>68</v>
      </c>
      <c r="AO3" s="124" t="s">
        <v>1</v>
      </c>
      <c r="AP3" s="124"/>
      <c r="AQ3" s="124"/>
      <c r="AR3" s="124"/>
      <c r="AS3" s="124"/>
      <c r="AT3" s="124"/>
      <c r="AU3" s="11" t="s">
        <v>69</v>
      </c>
      <c r="AV3" s="124" t="s">
        <v>72</v>
      </c>
      <c r="AW3" s="124"/>
      <c r="AX3" s="124"/>
      <c r="AY3" s="124"/>
      <c r="AZ3" s="124"/>
      <c r="BA3" s="124"/>
      <c r="BB3" s="124"/>
      <c r="BC3" s="124"/>
      <c r="BD3" s="124"/>
      <c r="BE3" s="124"/>
      <c r="BF3" s="124"/>
      <c r="BG3" s="124"/>
      <c r="BH3" s="124"/>
      <c r="BI3" s="124"/>
      <c r="BJ3" s="124"/>
      <c r="BK3" s="124"/>
      <c r="BL3" s="124"/>
      <c r="BM3" s="124"/>
      <c r="BN3" s="124"/>
      <c r="BO3" s="124"/>
      <c r="BP3" s="124"/>
      <c r="BQ3" s="124"/>
      <c r="BR3" s="124"/>
      <c r="BS3" s="124"/>
      <c r="BT3" s="124"/>
      <c r="BU3" s="124"/>
      <c r="BV3" s="124"/>
    </row>
    <row r="4" spans="2:74" ht="15" thickBot="1" x14ac:dyDescent="0.4"/>
    <row r="5" spans="2:74" ht="19" thickBot="1" x14ac:dyDescent="0.5">
      <c r="B5" s="121" t="s">
        <v>5</v>
      </c>
      <c r="C5" s="122"/>
      <c r="D5" s="122"/>
      <c r="E5" s="122"/>
      <c r="F5" s="122"/>
      <c r="G5" s="122"/>
      <c r="H5" s="122"/>
      <c r="I5" s="122"/>
      <c r="J5" s="122"/>
      <c r="K5" s="123"/>
      <c r="M5" s="118" t="s">
        <v>6</v>
      </c>
      <c r="N5" s="119"/>
      <c r="O5" s="119"/>
      <c r="P5" s="119"/>
      <c r="Q5" s="119"/>
      <c r="R5" s="120"/>
      <c r="T5" s="118" t="s">
        <v>7</v>
      </c>
      <c r="U5" s="119"/>
      <c r="V5" s="119"/>
      <c r="W5" s="119"/>
      <c r="X5" s="119"/>
      <c r="Y5" s="120"/>
      <c r="AA5" s="118" t="s">
        <v>11</v>
      </c>
      <c r="AB5" s="119"/>
      <c r="AC5" s="119"/>
      <c r="AD5" s="119"/>
      <c r="AE5" s="119"/>
      <c r="AF5" s="120"/>
      <c r="AH5" s="118" t="s">
        <v>14</v>
      </c>
      <c r="AI5" s="119"/>
      <c r="AJ5" s="119"/>
      <c r="AK5" s="119"/>
      <c r="AL5" s="119"/>
      <c r="AM5" s="120"/>
      <c r="AO5" s="118" t="s">
        <v>22</v>
      </c>
      <c r="AP5" s="119"/>
      <c r="AQ5" s="119"/>
      <c r="AR5" s="119"/>
      <c r="AS5" s="119"/>
      <c r="AT5" s="120"/>
      <c r="AV5" s="118" t="s">
        <v>32</v>
      </c>
      <c r="AW5" s="119"/>
      <c r="AX5" s="119"/>
      <c r="AY5" s="119"/>
      <c r="AZ5" s="119"/>
      <c r="BA5" s="120"/>
      <c r="BC5" s="118" t="s">
        <v>73</v>
      </c>
      <c r="BD5" s="119"/>
      <c r="BE5" s="119"/>
      <c r="BF5" s="119"/>
      <c r="BG5" s="119"/>
      <c r="BH5" s="120"/>
      <c r="BJ5" s="118" t="s">
        <v>74</v>
      </c>
      <c r="BK5" s="119"/>
      <c r="BL5" s="119"/>
      <c r="BM5" s="119"/>
      <c r="BN5" s="119"/>
      <c r="BO5" s="120"/>
      <c r="BQ5" s="118" t="s">
        <v>80</v>
      </c>
      <c r="BR5" s="119"/>
      <c r="BS5" s="119"/>
      <c r="BT5" s="119"/>
      <c r="BU5" s="119"/>
      <c r="BV5" s="120"/>
    </row>
    <row r="6" spans="2:74" ht="18.5" x14ac:dyDescent="0.45">
      <c r="B6" s="22" t="s">
        <v>83</v>
      </c>
      <c r="C6" s="31" t="s">
        <v>0</v>
      </c>
      <c r="D6" s="22" t="s">
        <v>83</v>
      </c>
      <c r="E6" s="31" t="s">
        <v>1</v>
      </c>
      <c r="F6" s="22" t="s">
        <v>83</v>
      </c>
      <c r="G6" s="31" t="s">
        <v>2</v>
      </c>
      <c r="H6" s="22" t="s">
        <v>83</v>
      </c>
      <c r="I6" s="31" t="s">
        <v>3</v>
      </c>
      <c r="J6" s="22" t="s">
        <v>83</v>
      </c>
      <c r="K6" s="32" t="s">
        <v>4</v>
      </c>
      <c r="M6" s="9" t="s">
        <v>62</v>
      </c>
      <c r="N6" s="9" t="s">
        <v>63</v>
      </c>
      <c r="O6" s="9" t="s">
        <v>64</v>
      </c>
      <c r="P6" s="9" t="s">
        <v>66</v>
      </c>
      <c r="Q6" s="9" t="s">
        <v>67</v>
      </c>
      <c r="R6" s="9" t="s">
        <v>65</v>
      </c>
      <c r="T6" s="9" t="s">
        <v>62</v>
      </c>
      <c r="U6" s="9" t="s">
        <v>63</v>
      </c>
      <c r="V6" s="9" t="s">
        <v>64</v>
      </c>
      <c r="W6" s="9" t="s">
        <v>66</v>
      </c>
      <c r="X6" s="9" t="s">
        <v>67</v>
      </c>
      <c r="Y6" s="9" t="s">
        <v>65</v>
      </c>
      <c r="AA6" s="9" t="s">
        <v>62</v>
      </c>
      <c r="AB6" s="9" t="s">
        <v>63</v>
      </c>
      <c r="AC6" s="9" t="s">
        <v>64</v>
      </c>
      <c r="AD6" s="9" t="s">
        <v>66</v>
      </c>
      <c r="AE6" s="9" t="s">
        <v>67</v>
      </c>
      <c r="AF6" s="9" t="s">
        <v>65</v>
      </c>
      <c r="AH6" s="9" t="s">
        <v>62</v>
      </c>
      <c r="AI6" s="9" t="s">
        <v>63</v>
      </c>
      <c r="AJ6" s="9" t="s">
        <v>64</v>
      </c>
      <c r="AK6" s="9" t="s">
        <v>66</v>
      </c>
      <c r="AL6" s="9" t="s">
        <v>67</v>
      </c>
      <c r="AM6" s="9" t="s">
        <v>65</v>
      </c>
      <c r="AO6" s="9" t="s">
        <v>62</v>
      </c>
      <c r="AP6" s="9" t="s">
        <v>63</v>
      </c>
      <c r="AQ6" s="9" t="s">
        <v>64</v>
      </c>
      <c r="AR6" s="9" t="s">
        <v>70</v>
      </c>
      <c r="AS6" s="9" t="s">
        <v>71</v>
      </c>
      <c r="AT6" s="9" t="s">
        <v>65</v>
      </c>
      <c r="AV6" s="9" t="s">
        <v>62</v>
      </c>
      <c r="AW6" s="9" t="s">
        <v>63</v>
      </c>
      <c r="AX6" s="9" t="s">
        <v>64</v>
      </c>
      <c r="AY6" s="9" t="s">
        <v>70</v>
      </c>
      <c r="AZ6" s="9" t="s">
        <v>71</v>
      </c>
      <c r="BA6" s="9" t="s">
        <v>65</v>
      </c>
      <c r="BC6" s="9" t="s">
        <v>62</v>
      </c>
      <c r="BD6" s="9" t="s">
        <v>63</v>
      </c>
      <c r="BE6" s="9" t="s">
        <v>64</v>
      </c>
      <c r="BF6" s="9" t="s">
        <v>66</v>
      </c>
      <c r="BG6" s="9" t="s">
        <v>67</v>
      </c>
      <c r="BH6" s="9" t="s">
        <v>65</v>
      </c>
      <c r="BJ6" s="9" t="s">
        <v>62</v>
      </c>
      <c r="BK6" s="9" t="s">
        <v>63</v>
      </c>
      <c r="BL6" s="9" t="s">
        <v>64</v>
      </c>
      <c r="BM6" s="9" t="s">
        <v>70</v>
      </c>
      <c r="BN6" s="9" t="s">
        <v>71</v>
      </c>
      <c r="BO6" s="9" t="s">
        <v>65</v>
      </c>
      <c r="BQ6" s="9" t="s">
        <v>62</v>
      </c>
      <c r="BR6" s="9" t="s">
        <v>63</v>
      </c>
      <c r="BS6" s="9" t="s">
        <v>64</v>
      </c>
      <c r="BT6" s="9" t="s">
        <v>66</v>
      </c>
      <c r="BU6" s="9" t="s">
        <v>67</v>
      </c>
      <c r="BV6" s="9" t="s">
        <v>65</v>
      </c>
    </row>
    <row r="7" spans="2:74" x14ac:dyDescent="0.35">
      <c r="B7" s="23">
        <v>100</v>
      </c>
      <c r="C7" s="2" t="s">
        <v>6</v>
      </c>
      <c r="D7" s="23">
        <v>200</v>
      </c>
      <c r="E7" s="5" t="s">
        <v>21</v>
      </c>
      <c r="F7" s="23">
        <v>300</v>
      </c>
      <c r="G7" s="4" t="s">
        <v>32</v>
      </c>
      <c r="H7" s="23">
        <v>400</v>
      </c>
      <c r="I7" s="6" t="s">
        <v>42</v>
      </c>
      <c r="J7" s="23">
        <v>500</v>
      </c>
      <c r="K7" s="24" t="s">
        <v>47</v>
      </c>
      <c r="M7" s="8">
        <v>45658</v>
      </c>
      <c r="N7" s="7"/>
      <c r="O7" s="7"/>
      <c r="P7" s="7">
        <v>15000</v>
      </c>
      <c r="Q7" s="7"/>
      <c r="R7" s="7">
        <f>P7</f>
        <v>15000</v>
      </c>
      <c r="T7" s="8">
        <v>45658</v>
      </c>
      <c r="U7" s="7"/>
      <c r="V7" s="7"/>
      <c r="W7" s="7">
        <v>2000</v>
      </c>
      <c r="X7" s="7"/>
      <c r="Y7" s="7">
        <f>W7</f>
        <v>2000</v>
      </c>
      <c r="AA7" s="8">
        <v>45658</v>
      </c>
      <c r="AB7" s="7"/>
      <c r="AC7" s="7"/>
      <c r="AD7" s="7">
        <v>1600</v>
      </c>
      <c r="AE7" s="7"/>
      <c r="AF7" s="7">
        <f>AD7</f>
        <v>1600</v>
      </c>
      <c r="AH7" s="8">
        <v>45658</v>
      </c>
      <c r="AI7" s="7"/>
      <c r="AJ7" s="7"/>
      <c r="AK7" s="7">
        <v>7000</v>
      </c>
      <c r="AL7" s="7"/>
      <c r="AM7" s="7">
        <f>AK7</f>
        <v>7000</v>
      </c>
      <c r="AO7" s="8">
        <v>45658</v>
      </c>
      <c r="AP7" s="7"/>
      <c r="AQ7" s="7"/>
      <c r="AR7" s="7"/>
      <c r="AS7" s="7">
        <v>1600</v>
      </c>
      <c r="AT7" s="7">
        <f>AS7</f>
        <v>1600</v>
      </c>
      <c r="AV7" s="8">
        <v>45658</v>
      </c>
      <c r="AW7" s="7"/>
      <c r="AX7" s="7"/>
      <c r="AY7" s="7"/>
      <c r="AZ7" s="7">
        <v>15000</v>
      </c>
      <c r="BA7" s="7">
        <f>AZ7</f>
        <v>15000</v>
      </c>
      <c r="BC7" s="8">
        <v>45658</v>
      </c>
      <c r="BD7" s="7"/>
      <c r="BE7" s="7"/>
      <c r="BF7" s="7">
        <v>1300</v>
      </c>
      <c r="BG7" s="7"/>
      <c r="BH7" s="7">
        <f>BF7</f>
        <v>1300</v>
      </c>
      <c r="BJ7" s="8">
        <v>45658</v>
      </c>
      <c r="BK7" s="7"/>
      <c r="BL7" s="7"/>
      <c r="BM7" s="7"/>
      <c r="BN7" s="7">
        <v>1200</v>
      </c>
      <c r="BO7" s="7">
        <f>BN7</f>
        <v>1200</v>
      </c>
      <c r="BQ7" s="8">
        <v>45658</v>
      </c>
      <c r="BR7" s="7"/>
      <c r="BS7" s="7"/>
      <c r="BT7" s="7">
        <v>250</v>
      </c>
      <c r="BU7" s="7"/>
      <c r="BV7" s="7">
        <f>BT7</f>
        <v>250</v>
      </c>
    </row>
    <row r="8" spans="2:74" x14ac:dyDescent="0.35">
      <c r="B8" s="23">
        <v>102</v>
      </c>
      <c r="C8" s="2" t="s">
        <v>7</v>
      </c>
      <c r="D8" s="23">
        <v>201</v>
      </c>
      <c r="E8" s="5" t="s">
        <v>22</v>
      </c>
      <c r="F8" s="23">
        <v>301</v>
      </c>
      <c r="G8" s="4" t="s">
        <v>33</v>
      </c>
      <c r="H8" s="23">
        <v>401</v>
      </c>
      <c r="I8" s="6" t="s">
        <v>43</v>
      </c>
      <c r="J8" s="23">
        <v>501</v>
      </c>
      <c r="K8" s="24" t="s">
        <v>48</v>
      </c>
      <c r="M8" s="8"/>
      <c r="N8" s="7"/>
      <c r="O8" s="7"/>
      <c r="P8" s="7"/>
      <c r="Q8" s="7">
        <v>7000</v>
      </c>
      <c r="R8" s="7">
        <f>R7+P8-Q8</f>
        <v>8000</v>
      </c>
      <c r="T8" s="8"/>
      <c r="U8" s="7"/>
      <c r="V8" s="7"/>
      <c r="W8" s="7"/>
      <c r="X8" s="7">
        <v>600</v>
      </c>
      <c r="Y8" s="7">
        <f>Y7+W8-X8</f>
        <v>1400</v>
      </c>
      <c r="AA8" s="8"/>
      <c r="AB8" s="7"/>
      <c r="AC8" s="7"/>
      <c r="AD8" s="7"/>
      <c r="AE8" s="7"/>
      <c r="AF8" s="7">
        <f>AF7+AD8-AE8</f>
        <v>1600</v>
      </c>
      <c r="AH8" s="8"/>
      <c r="AI8" s="7"/>
      <c r="AJ8" s="7"/>
      <c r="AK8" s="7"/>
      <c r="AL8" s="7"/>
      <c r="AM8" s="7">
        <f>AM7+AK8-AL8</f>
        <v>7000</v>
      </c>
      <c r="AO8" s="8"/>
      <c r="AP8" s="7"/>
      <c r="AQ8" s="7"/>
      <c r="AR8" s="7"/>
      <c r="AS8" s="7">
        <v>250</v>
      </c>
      <c r="AT8" s="7">
        <f>+AT7+AS8-AR8</f>
        <v>1850</v>
      </c>
      <c r="AV8" s="8"/>
      <c r="AW8" s="7"/>
      <c r="AX8" s="7"/>
      <c r="AY8" s="7"/>
      <c r="AZ8" s="7"/>
      <c r="BA8" s="7">
        <f>BA7+AZ8-AY8</f>
        <v>15000</v>
      </c>
      <c r="BC8" s="8"/>
      <c r="BD8" s="7"/>
      <c r="BE8" s="7"/>
      <c r="BF8" s="7"/>
      <c r="BG8" s="7"/>
      <c r="BH8" s="7">
        <f>BH7+BF8-BG8</f>
        <v>1300</v>
      </c>
      <c r="BJ8" s="8"/>
      <c r="BK8" s="7"/>
      <c r="BL8" s="7"/>
      <c r="BM8" s="7"/>
      <c r="BN8" s="7">
        <v>3500</v>
      </c>
      <c r="BO8" s="7">
        <f>BO7+BN8-BM8</f>
        <v>4700</v>
      </c>
      <c r="BQ8" s="8"/>
      <c r="BR8" s="7"/>
      <c r="BS8" s="7"/>
      <c r="BT8" s="7"/>
      <c r="BU8" s="7"/>
      <c r="BV8" s="7">
        <f>BV7+BT8-BU8</f>
        <v>250</v>
      </c>
    </row>
    <row r="9" spans="2:74" x14ac:dyDescent="0.35">
      <c r="B9" s="23">
        <v>104</v>
      </c>
      <c r="C9" s="2" t="s">
        <v>8</v>
      </c>
      <c r="D9" s="23">
        <v>202</v>
      </c>
      <c r="E9" s="5" t="s">
        <v>23</v>
      </c>
      <c r="F9" s="23">
        <v>302</v>
      </c>
      <c r="G9" s="4" t="s">
        <v>34</v>
      </c>
      <c r="H9" s="23">
        <v>402</v>
      </c>
      <c r="I9" s="6" t="s">
        <v>34</v>
      </c>
      <c r="J9" s="23">
        <v>502</v>
      </c>
      <c r="K9" s="24" t="s">
        <v>49</v>
      </c>
      <c r="M9" s="8"/>
      <c r="N9" s="7"/>
      <c r="O9" s="7"/>
      <c r="P9" s="7">
        <v>1200</v>
      </c>
      <c r="Q9" s="7"/>
      <c r="R9" s="7">
        <f t="shared" ref="R9:R17" si="0">R8+P9-Q9</f>
        <v>9200</v>
      </c>
      <c r="T9" s="8"/>
      <c r="U9" s="7"/>
      <c r="V9" s="7"/>
      <c r="W9" s="7"/>
      <c r="X9" s="7"/>
      <c r="Y9" s="7">
        <f t="shared" ref="Y9:Y11" si="1">Y8+W9-X9</f>
        <v>1400</v>
      </c>
      <c r="AA9" s="8"/>
      <c r="AB9" s="7"/>
      <c r="AC9" s="7"/>
      <c r="AD9" s="7"/>
      <c r="AE9" s="7"/>
      <c r="AF9" s="7">
        <f t="shared" ref="AF9:AF11" si="2">AF8+AD9-AE9</f>
        <v>1600</v>
      </c>
      <c r="AH9" s="8"/>
      <c r="AI9" s="7"/>
      <c r="AJ9" s="7"/>
      <c r="AK9" s="7"/>
      <c r="AL9" s="7"/>
      <c r="AM9" s="7">
        <f t="shared" ref="AM9:AM11" si="3">AM8+AK9-AL9</f>
        <v>7000</v>
      </c>
      <c r="AO9" s="8"/>
      <c r="AP9" s="7"/>
      <c r="AQ9" s="7"/>
      <c r="AR9" s="7">
        <v>250</v>
      </c>
      <c r="AS9" s="7"/>
      <c r="AT9" s="7">
        <f>+AT8+AS9-AR9</f>
        <v>1600</v>
      </c>
      <c r="AV9" s="8"/>
      <c r="AW9" s="7"/>
      <c r="AX9" s="7"/>
      <c r="AY9" s="7"/>
      <c r="AZ9" s="7"/>
      <c r="BA9" s="7">
        <f t="shared" ref="BA9:BA11" si="4">BA8+AZ9-AY9</f>
        <v>15000</v>
      </c>
      <c r="BC9" s="8"/>
      <c r="BD9" s="7"/>
      <c r="BE9" s="7"/>
      <c r="BF9" s="7"/>
      <c r="BG9" s="7"/>
      <c r="BH9" s="7">
        <f t="shared" ref="BH9:BH11" si="5">BH8+BF9-BG9</f>
        <v>1300</v>
      </c>
      <c r="BJ9" s="8"/>
      <c r="BK9" s="7"/>
      <c r="BL9" s="7"/>
      <c r="BM9" s="7"/>
      <c r="BN9" s="7"/>
      <c r="BO9" s="7">
        <f t="shared" ref="BO9:BO11" si="6">BO8+BN9-BM9</f>
        <v>4700</v>
      </c>
      <c r="BQ9" s="8"/>
      <c r="BR9" s="7"/>
      <c r="BS9" s="7"/>
      <c r="BT9" s="7"/>
      <c r="BU9" s="7"/>
      <c r="BV9" s="7">
        <f t="shared" ref="BV9:BV11" si="7">BV8+BT9-BU9</f>
        <v>250</v>
      </c>
    </row>
    <row r="10" spans="2:74" x14ac:dyDescent="0.35">
      <c r="B10" s="23">
        <v>106</v>
      </c>
      <c r="C10" s="2" t="s">
        <v>9</v>
      </c>
      <c r="D10" s="23">
        <v>203</v>
      </c>
      <c r="E10" s="5" t="s">
        <v>59</v>
      </c>
      <c r="F10" s="23">
        <v>303</v>
      </c>
      <c r="G10" s="4" t="s">
        <v>35</v>
      </c>
      <c r="H10" s="23">
        <v>403</v>
      </c>
      <c r="I10" s="6" t="s">
        <v>44</v>
      </c>
      <c r="J10" s="23">
        <v>503</v>
      </c>
      <c r="K10" s="24" t="s">
        <v>50</v>
      </c>
      <c r="M10" s="8"/>
      <c r="N10" s="7"/>
      <c r="O10" s="7"/>
      <c r="P10" s="7">
        <v>1500</v>
      </c>
      <c r="Q10" s="7"/>
      <c r="R10" s="7">
        <f t="shared" si="0"/>
        <v>10700</v>
      </c>
      <c r="T10" s="8"/>
      <c r="U10" s="7"/>
      <c r="V10" s="7"/>
      <c r="W10" s="7"/>
      <c r="X10" s="7"/>
      <c r="Y10" s="7">
        <f t="shared" si="1"/>
        <v>1400</v>
      </c>
      <c r="AA10" s="8"/>
      <c r="AB10" s="7"/>
      <c r="AC10" s="7"/>
      <c r="AD10" s="7"/>
      <c r="AE10" s="7"/>
      <c r="AF10" s="7">
        <f t="shared" si="2"/>
        <v>1600</v>
      </c>
      <c r="AH10" s="8"/>
      <c r="AI10" s="7"/>
      <c r="AJ10" s="7"/>
      <c r="AK10" s="7"/>
      <c r="AL10" s="7"/>
      <c r="AM10" s="7">
        <f t="shared" si="3"/>
        <v>7000</v>
      </c>
      <c r="AO10" s="8"/>
      <c r="AP10" s="7"/>
      <c r="AQ10" s="7"/>
      <c r="AR10" s="7"/>
      <c r="AS10" s="7"/>
      <c r="AT10" s="7">
        <f t="shared" ref="AT10:AT11" si="8">+AT9+AS10-AR10</f>
        <v>1600</v>
      </c>
      <c r="AV10" s="8"/>
      <c r="AW10" s="7"/>
      <c r="AX10" s="7"/>
      <c r="AY10" s="7"/>
      <c r="AZ10" s="7"/>
      <c r="BA10" s="7">
        <f t="shared" si="4"/>
        <v>15000</v>
      </c>
      <c r="BC10" s="8"/>
      <c r="BD10" s="7"/>
      <c r="BE10" s="7"/>
      <c r="BF10" s="7"/>
      <c r="BG10" s="7"/>
      <c r="BH10" s="7">
        <f t="shared" si="5"/>
        <v>1300</v>
      </c>
      <c r="BJ10" s="8"/>
      <c r="BK10" s="7"/>
      <c r="BL10" s="7"/>
      <c r="BM10" s="7"/>
      <c r="BN10" s="7"/>
      <c r="BO10" s="7">
        <f t="shared" si="6"/>
        <v>4700</v>
      </c>
      <c r="BQ10" s="8"/>
      <c r="BR10" s="7"/>
      <c r="BS10" s="7"/>
      <c r="BT10" s="7"/>
      <c r="BU10" s="7"/>
      <c r="BV10" s="7">
        <f t="shared" si="7"/>
        <v>250</v>
      </c>
    </row>
    <row r="11" spans="2:74" x14ac:dyDescent="0.35">
      <c r="B11" s="23">
        <v>108</v>
      </c>
      <c r="C11" s="2" t="s">
        <v>10</v>
      </c>
      <c r="D11" s="23">
        <v>204</v>
      </c>
      <c r="E11" s="5" t="s">
        <v>24</v>
      </c>
      <c r="F11" s="23">
        <v>304</v>
      </c>
      <c r="G11" s="4" t="s">
        <v>36</v>
      </c>
      <c r="H11" s="23">
        <v>404</v>
      </c>
      <c r="I11" s="6" t="s">
        <v>45</v>
      </c>
      <c r="J11" s="23">
        <v>504</v>
      </c>
      <c r="K11" s="24" t="s">
        <v>51</v>
      </c>
      <c r="M11" s="8"/>
      <c r="N11" s="7"/>
      <c r="O11" s="7"/>
      <c r="P11" s="7"/>
      <c r="Q11" s="7">
        <v>600</v>
      </c>
      <c r="R11" s="7">
        <f t="shared" si="0"/>
        <v>10100</v>
      </c>
      <c r="T11" s="8"/>
      <c r="U11" s="7"/>
      <c r="V11" s="7"/>
      <c r="W11" s="7"/>
      <c r="X11" s="7"/>
      <c r="Y11" s="7">
        <f t="shared" si="1"/>
        <v>1400</v>
      </c>
      <c r="AA11" s="8"/>
      <c r="AB11" s="7"/>
      <c r="AC11" s="7"/>
      <c r="AD11" s="7"/>
      <c r="AE11" s="7"/>
      <c r="AF11" s="7">
        <f t="shared" si="2"/>
        <v>1600</v>
      </c>
      <c r="AH11" s="8"/>
      <c r="AI11" s="7"/>
      <c r="AJ11" s="7"/>
      <c r="AK11" s="7"/>
      <c r="AL11" s="7"/>
      <c r="AM11" s="7">
        <f t="shared" si="3"/>
        <v>7000</v>
      </c>
      <c r="AO11" s="8"/>
      <c r="AP11" s="7"/>
      <c r="AQ11" s="7"/>
      <c r="AR11" s="7"/>
      <c r="AS11" s="7"/>
      <c r="AT11" s="7">
        <f t="shared" si="8"/>
        <v>1600</v>
      </c>
      <c r="AV11" s="8"/>
      <c r="AW11" s="7"/>
      <c r="AX11" s="7"/>
      <c r="AY11" s="7"/>
      <c r="AZ11" s="7"/>
      <c r="BA11" s="7">
        <f t="shared" si="4"/>
        <v>15000</v>
      </c>
      <c r="BC11" s="8"/>
      <c r="BD11" s="7"/>
      <c r="BE11" s="7"/>
      <c r="BF11" s="7"/>
      <c r="BG11" s="7"/>
      <c r="BH11" s="7">
        <f t="shared" si="5"/>
        <v>1300</v>
      </c>
      <c r="BJ11" s="8"/>
      <c r="BK11" s="7"/>
      <c r="BL11" s="7"/>
      <c r="BM11" s="7"/>
      <c r="BN11" s="7"/>
      <c r="BO11" s="7">
        <f t="shared" si="6"/>
        <v>4700</v>
      </c>
      <c r="BQ11" s="8"/>
      <c r="BR11" s="7"/>
      <c r="BS11" s="7"/>
      <c r="BT11" s="7"/>
      <c r="BU11" s="7"/>
      <c r="BV11" s="7">
        <f t="shared" si="7"/>
        <v>250</v>
      </c>
    </row>
    <row r="12" spans="2:74" x14ac:dyDescent="0.35">
      <c r="B12" s="23">
        <v>110</v>
      </c>
      <c r="C12" s="2" t="s">
        <v>11</v>
      </c>
      <c r="D12" s="23">
        <v>205</v>
      </c>
      <c r="E12" s="5" t="s">
        <v>25</v>
      </c>
      <c r="F12" s="23">
        <v>305</v>
      </c>
      <c r="G12" s="4" t="s">
        <v>37</v>
      </c>
      <c r="H12" s="23">
        <v>405</v>
      </c>
      <c r="I12" s="6" t="s">
        <v>46</v>
      </c>
      <c r="J12" s="23">
        <v>505</v>
      </c>
      <c r="K12" s="24" t="s">
        <v>52</v>
      </c>
      <c r="M12" s="8"/>
      <c r="N12" s="7"/>
      <c r="O12" s="7"/>
      <c r="P12" s="7"/>
      <c r="Q12" s="7">
        <v>900</v>
      </c>
      <c r="R12" s="7">
        <f t="shared" si="0"/>
        <v>9200</v>
      </c>
    </row>
    <row r="13" spans="2:74" x14ac:dyDescent="0.35">
      <c r="B13" s="23">
        <v>112</v>
      </c>
      <c r="C13" s="2" t="s">
        <v>12</v>
      </c>
      <c r="D13" s="23">
        <v>206</v>
      </c>
      <c r="E13" s="5" t="s">
        <v>26</v>
      </c>
      <c r="F13" s="23">
        <v>306</v>
      </c>
      <c r="G13" s="4" t="s">
        <v>38</v>
      </c>
      <c r="H13" s="23"/>
      <c r="I13" s="6"/>
      <c r="J13" s="23">
        <v>506</v>
      </c>
      <c r="K13" s="24" t="s">
        <v>53</v>
      </c>
      <c r="M13" s="8"/>
      <c r="N13" s="7"/>
      <c r="O13" s="7"/>
      <c r="P13" s="7"/>
      <c r="Q13" s="7">
        <v>200</v>
      </c>
      <c r="R13" s="7">
        <f t="shared" si="0"/>
        <v>9000</v>
      </c>
      <c r="BQ13" s="118" t="s">
        <v>81</v>
      </c>
      <c r="BR13" s="119"/>
      <c r="BS13" s="119"/>
      <c r="BT13" s="119"/>
      <c r="BU13" s="119"/>
      <c r="BV13" s="120"/>
    </row>
    <row r="14" spans="2:74" x14ac:dyDescent="0.35">
      <c r="B14" s="23">
        <v>114</v>
      </c>
      <c r="C14" s="2" t="s">
        <v>13</v>
      </c>
      <c r="D14" s="23">
        <v>207</v>
      </c>
      <c r="E14" s="5" t="s">
        <v>27</v>
      </c>
      <c r="F14" s="23">
        <v>307</v>
      </c>
      <c r="G14" s="4" t="s">
        <v>39</v>
      </c>
      <c r="H14" s="23"/>
      <c r="I14" s="6"/>
      <c r="J14" s="23">
        <v>507</v>
      </c>
      <c r="K14" s="24" t="s">
        <v>54</v>
      </c>
      <c r="M14" s="8"/>
      <c r="N14" s="7"/>
      <c r="O14" s="7"/>
      <c r="P14" s="7"/>
      <c r="Q14" s="7">
        <v>250</v>
      </c>
      <c r="R14" s="7">
        <f t="shared" si="0"/>
        <v>8750</v>
      </c>
      <c r="BQ14" s="9" t="s">
        <v>62</v>
      </c>
      <c r="BR14" s="9" t="s">
        <v>63</v>
      </c>
      <c r="BS14" s="9" t="s">
        <v>64</v>
      </c>
      <c r="BT14" s="9" t="s">
        <v>66</v>
      </c>
      <c r="BU14" s="9" t="s">
        <v>67</v>
      </c>
      <c r="BV14" s="9" t="s">
        <v>65</v>
      </c>
    </row>
    <row r="15" spans="2:74" x14ac:dyDescent="0.35">
      <c r="B15" s="23">
        <v>116</v>
      </c>
      <c r="C15" s="2" t="s">
        <v>14</v>
      </c>
      <c r="D15" s="23">
        <v>208</v>
      </c>
      <c r="E15" s="5" t="s">
        <v>28</v>
      </c>
      <c r="F15" s="23">
        <v>308</v>
      </c>
      <c r="G15" s="4" t="s">
        <v>40</v>
      </c>
      <c r="H15" s="23"/>
      <c r="I15" s="6"/>
      <c r="J15" s="23">
        <v>508</v>
      </c>
      <c r="K15" s="24" t="s">
        <v>55</v>
      </c>
      <c r="M15" s="8"/>
      <c r="N15" s="7"/>
      <c r="O15" s="7"/>
      <c r="P15" s="7">
        <v>600</v>
      </c>
      <c r="Q15" s="7"/>
      <c r="R15" s="7">
        <f t="shared" si="0"/>
        <v>9350</v>
      </c>
      <c r="BQ15" s="8">
        <v>45658</v>
      </c>
      <c r="BR15" s="7"/>
      <c r="BS15" s="7"/>
      <c r="BT15" s="7">
        <v>250</v>
      </c>
      <c r="BU15" s="7"/>
      <c r="BV15" s="7">
        <f>BT15</f>
        <v>250</v>
      </c>
    </row>
    <row r="16" spans="2:74" x14ac:dyDescent="0.35">
      <c r="B16" s="23">
        <v>118</v>
      </c>
      <c r="C16" s="2" t="s">
        <v>15</v>
      </c>
      <c r="D16" s="23">
        <v>209</v>
      </c>
      <c r="E16" s="5" t="s">
        <v>29</v>
      </c>
      <c r="F16" s="23">
        <v>309</v>
      </c>
      <c r="G16" s="4" t="s">
        <v>41</v>
      </c>
      <c r="H16" s="23"/>
      <c r="I16" s="6"/>
      <c r="J16" s="23">
        <v>509</v>
      </c>
      <c r="K16" s="24" t="s">
        <v>56</v>
      </c>
      <c r="M16" s="8"/>
      <c r="N16" s="7"/>
      <c r="O16" s="7"/>
      <c r="P16" s="7"/>
      <c r="Q16" s="7">
        <v>1300</v>
      </c>
      <c r="R16" s="7">
        <f t="shared" si="0"/>
        <v>8050</v>
      </c>
      <c r="BQ16" s="8"/>
      <c r="BR16" s="7"/>
      <c r="BS16" s="7"/>
      <c r="BT16" s="7"/>
      <c r="BU16" s="7"/>
      <c r="BV16" s="7">
        <f>BV15+BT16-BU16</f>
        <v>250</v>
      </c>
    </row>
    <row r="17" spans="2:74" x14ac:dyDescent="0.35">
      <c r="B17" s="23">
        <v>120</v>
      </c>
      <c r="C17" s="2" t="s">
        <v>16</v>
      </c>
      <c r="D17" s="23">
        <v>210</v>
      </c>
      <c r="E17" s="5" t="s">
        <v>30</v>
      </c>
      <c r="F17" s="23"/>
      <c r="G17" s="4"/>
      <c r="H17" s="23"/>
      <c r="I17" s="6"/>
      <c r="J17" s="23">
        <v>510</v>
      </c>
      <c r="K17" s="24" t="s">
        <v>57</v>
      </c>
      <c r="M17" s="8"/>
      <c r="N17" s="7"/>
      <c r="O17" s="7"/>
      <c r="P17" s="7"/>
      <c r="Q17" s="7"/>
      <c r="R17" s="7">
        <f t="shared" si="0"/>
        <v>8050</v>
      </c>
      <c r="BQ17" s="8"/>
      <c r="BR17" s="7"/>
      <c r="BS17" s="7"/>
      <c r="BT17" s="7"/>
      <c r="BU17" s="7"/>
      <c r="BV17" s="7">
        <f t="shared" ref="BV17:BV19" si="9">BV16+BT17-BU17</f>
        <v>250</v>
      </c>
    </row>
    <row r="18" spans="2:74" ht="18.5" x14ac:dyDescent="0.45">
      <c r="B18" s="23">
        <v>122</v>
      </c>
      <c r="C18" s="2" t="s">
        <v>17</v>
      </c>
      <c r="D18" s="23">
        <v>211</v>
      </c>
      <c r="E18" s="5" t="s">
        <v>31</v>
      </c>
      <c r="F18" s="23"/>
      <c r="G18" s="4"/>
      <c r="H18" s="23"/>
      <c r="I18" s="6"/>
      <c r="J18" s="23">
        <v>511</v>
      </c>
      <c r="K18" s="24" t="s">
        <v>58</v>
      </c>
      <c r="AW18" s="12" t="s">
        <v>0</v>
      </c>
      <c r="AX18" s="13"/>
      <c r="AY18" s="13"/>
      <c r="AZ18" s="14"/>
      <c r="BQ18" s="8"/>
      <c r="BR18" s="7"/>
      <c r="BS18" s="7"/>
      <c r="BT18" s="7"/>
      <c r="BU18" s="7"/>
      <c r="BV18" s="7">
        <f t="shared" si="9"/>
        <v>250</v>
      </c>
    </row>
    <row r="19" spans="2:74" x14ac:dyDescent="0.35">
      <c r="B19" s="23">
        <v>124</v>
      </c>
      <c r="C19" s="2" t="s">
        <v>18</v>
      </c>
      <c r="D19" s="23"/>
      <c r="E19" s="5"/>
      <c r="F19" s="23"/>
      <c r="G19" s="4"/>
      <c r="H19" s="23"/>
      <c r="I19" s="6"/>
      <c r="J19" s="23">
        <v>512</v>
      </c>
      <c r="K19" s="24" t="s">
        <v>59</v>
      </c>
      <c r="AW19" s="2" t="s">
        <v>6</v>
      </c>
      <c r="AX19" s="15"/>
      <c r="AY19" s="15"/>
      <c r="AZ19" s="16">
        <f>R17</f>
        <v>8050</v>
      </c>
      <c r="BQ19" s="8"/>
      <c r="BR19" s="7"/>
      <c r="BS19" s="7"/>
      <c r="BT19" s="7"/>
      <c r="BU19" s="7"/>
      <c r="BV19" s="7">
        <f t="shared" si="9"/>
        <v>250</v>
      </c>
    </row>
    <row r="20" spans="2:74" x14ac:dyDescent="0.35">
      <c r="B20" s="23">
        <v>126</v>
      </c>
      <c r="C20" s="2" t="s">
        <v>19</v>
      </c>
      <c r="D20" s="23"/>
      <c r="E20" s="5"/>
      <c r="F20" s="23"/>
      <c r="G20" s="4"/>
      <c r="H20" s="23"/>
      <c r="I20" s="6"/>
      <c r="J20" s="23">
        <v>513</v>
      </c>
      <c r="K20" s="24" t="s">
        <v>60</v>
      </c>
      <c r="AW20" s="2" t="s">
        <v>7</v>
      </c>
      <c r="AX20" s="15"/>
      <c r="AY20" s="15"/>
      <c r="AZ20" s="16">
        <f>+Y11</f>
        <v>1400</v>
      </c>
    </row>
    <row r="21" spans="2:74" x14ac:dyDescent="0.35">
      <c r="B21" s="23">
        <v>128</v>
      </c>
      <c r="C21" s="2" t="s">
        <v>20</v>
      </c>
      <c r="D21" s="23"/>
      <c r="E21" s="5"/>
      <c r="F21" s="23"/>
      <c r="G21" s="4"/>
      <c r="H21" s="23"/>
      <c r="I21" s="6"/>
      <c r="J21" s="23">
        <v>514</v>
      </c>
      <c r="K21" s="24" t="s">
        <v>61</v>
      </c>
      <c r="AW21" s="2" t="s">
        <v>11</v>
      </c>
      <c r="AX21" s="15"/>
      <c r="AY21" s="15"/>
      <c r="AZ21" s="16">
        <f>AF11</f>
        <v>1600</v>
      </c>
      <c r="BQ21" s="118" t="s">
        <v>82</v>
      </c>
      <c r="BR21" s="119"/>
      <c r="BS21" s="119"/>
      <c r="BT21" s="119"/>
      <c r="BU21" s="119"/>
      <c r="BV21" s="120"/>
    </row>
    <row r="22" spans="2:74" ht="15" thickBot="1" x14ac:dyDescent="0.4">
      <c r="B22" s="25"/>
      <c r="C22" s="26"/>
      <c r="D22" s="25"/>
      <c r="E22" s="27"/>
      <c r="F22" s="25"/>
      <c r="G22" s="28"/>
      <c r="H22" s="25"/>
      <c r="I22" s="29"/>
      <c r="J22" s="25"/>
      <c r="K22" s="30"/>
      <c r="AW22" s="2" t="s">
        <v>14</v>
      </c>
      <c r="AX22" s="15"/>
      <c r="AY22" s="15"/>
      <c r="AZ22" s="16">
        <f>AM11</f>
        <v>7000</v>
      </c>
      <c r="BQ22" s="9" t="s">
        <v>62</v>
      </c>
      <c r="BR22" s="9" t="s">
        <v>63</v>
      </c>
      <c r="BS22" s="9" t="s">
        <v>64</v>
      </c>
      <c r="BT22" s="9" t="s">
        <v>66</v>
      </c>
      <c r="BU22" s="9" t="s">
        <v>67</v>
      </c>
      <c r="BV22" s="9" t="s">
        <v>65</v>
      </c>
    </row>
    <row r="23" spans="2:74" ht="18.5" x14ac:dyDescent="0.45">
      <c r="AW23" s="2" t="s">
        <v>76</v>
      </c>
      <c r="AX23" s="15"/>
      <c r="AY23" s="15"/>
      <c r="AZ23" s="17">
        <f>SUM(AZ19:AZ22)</f>
        <v>18050</v>
      </c>
      <c r="BQ23" s="8">
        <v>45658</v>
      </c>
      <c r="BR23" s="7"/>
      <c r="BS23" s="7"/>
      <c r="BT23" s="7">
        <v>600</v>
      </c>
      <c r="BU23" s="7"/>
      <c r="BV23" s="7">
        <f>BT23</f>
        <v>600</v>
      </c>
    </row>
    <row r="24" spans="2:74" x14ac:dyDescent="0.35">
      <c r="AW24" s="2"/>
      <c r="AX24" s="15"/>
      <c r="AY24" s="15"/>
      <c r="AZ24" s="16"/>
      <c r="BQ24" s="8"/>
      <c r="BR24" s="7"/>
      <c r="BS24" s="7"/>
      <c r="BT24" s="7"/>
      <c r="BU24" s="7"/>
      <c r="BV24" s="7">
        <f>BV23+BT24-BU24</f>
        <v>600</v>
      </c>
    </row>
    <row r="25" spans="2:74" ht="18.5" x14ac:dyDescent="0.45">
      <c r="AW25" s="18" t="s">
        <v>1</v>
      </c>
      <c r="AX25" s="15"/>
      <c r="AY25" s="15"/>
      <c r="AZ25" s="16"/>
      <c r="BQ25" s="8"/>
      <c r="BR25" s="7"/>
      <c r="BS25" s="7"/>
      <c r="BT25" s="7"/>
      <c r="BU25" s="7"/>
      <c r="BV25" s="7">
        <f t="shared" ref="BV25:BV27" si="10">BV24+BT25-BU25</f>
        <v>600</v>
      </c>
    </row>
    <row r="26" spans="2:74" x14ac:dyDescent="0.35">
      <c r="AW26" s="2" t="s">
        <v>22</v>
      </c>
      <c r="AX26" s="15"/>
      <c r="AY26" s="15"/>
      <c r="AZ26" s="16">
        <f>AT11</f>
        <v>1600</v>
      </c>
      <c r="BQ26" s="8"/>
      <c r="BR26" s="7"/>
      <c r="BS26" s="7"/>
      <c r="BT26" s="7"/>
      <c r="BU26" s="7"/>
      <c r="BV26" s="7">
        <f t="shared" si="10"/>
        <v>600</v>
      </c>
    </row>
    <row r="27" spans="2:74" x14ac:dyDescent="0.35">
      <c r="AW27" s="2" t="s">
        <v>78</v>
      </c>
      <c r="AX27" s="15"/>
      <c r="AY27" s="15"/>
      <c r="AZ27" s="19">
        <f>AZ26</f>
        <v>1600</v>
      </c>
      <c r="BQ27" s="8"/>
      <c r="BR27" s="7"/>
      <c r="BS27" s="7"/>
      <c r="BT27" s="7"/>
      <c r="BU27" s="7"/>
      <c r="BV27" s="7">
        <f t="shared" si="10"/>
        <v>600</v>
      </c>
    </row>
    <row r="28" spans="2:74" ht="18.5" x14ac:dyDescent="0.45">
      <c r="AW28" s="18" t="s">
        <v>72</v>
      </c>
      <c r="AX28" s="15"/>
      <c r="AY28" s="15"/>
      <c r="AZ28" s="16"/>
    </row>
    <row r="29" spans="2:74" x14ac:dyDescent="0.35">
      <c r="AW29" s="2" t="s">
        <v>32</v>
      </c>
      <c r="AX29" s="15"/>
      <c r="AY29" s="15"/>
      <c r="AZ29" s="16">
        <f>BA11</f>
        <v>15000</v>
      </c>
      <c r="BQ29" s="118" t="s">
        <v>59</v>
      </c>
      <c r="BR29" s="119"/>
      <c r="BS29" s="119"/>
      <c r="BT29" s="119"/>
      <c r="BU29" s="119"/>
      <c r="BV29" s="120"/>
    </row>
    <row r="30" spans="2:74" x14ac:dyDescent="0.35">
      <c r="AW30" s="2" t="s">
        <v>73</v>
      </c>
      <c r="AX30" s="15"/>
      <c r="AY30" s="15"/>
      <c r="AZ30" s="16">
        <f>BH11</f>
        <v>1300</v>
      </c>
      <c r="BQ30" s="9" t="s">
        <v>62</v>
      </c>
      <c r="BR30" s="9" t="s">
        <v>63</v>
      </c>
      <c r="BS30" s="9" t="s">
        <v>64</v>
      </c>
      <c r="BT30" s="9" t="s">
        <v>66</v>
      </c>
      <c r="BU30" s="9" t="s">
        <v>67</v>
      </c>
      <c r="BV30" s="9" t="s">
        <v>65</v>
      </c>
    </row>
    <row r="31" spans="2:74" x14ac:dyDescent="0.35">
      <c r="AW31" s="2" t="s">
        <v>74</v>
      </c>
      <c r="AX31" s="15"/>
      <c r="AY31" s="15"/>
      <c r="AZ31" s="16">
        <f>+BO11</f>
        <v>4700</v>
      </c>
      <c r="BQ31" s="8">
        <v>45658</v>
      </c>
      <c r="BR31" s="7"/>
      <c r="BS31" s="7"/>
      <c r="BT31" s="7">
        <v>900</v>
      </c>
      <c r="BU31" s="7"/>
      <c r="BV31" s="7">
        <f>BT31</f>
        <v>900</v>
      </c>
    </row>
    <row r="32" spans="2:74" x14ac:dyDescent="0.35">
      <c r="AW32" s="2" t="s">
        <v>75</v>
      </c>
      <c r="AX32" s="15"/>
      <c r="AY32" s="15"/>
      <c r="AZ32" s="16">
        <f>BV19+BV27+BV35+BV43</f>
        <v>1950</v>
      </c>
      <c r="BQ32" s="8"/>
      <c r="BR32" s="7"/>
      <c r="BS32" s="7"/>
      <c r="BT32" s="7"/>
      <c r="BU32" s="7"/>
      <c r="BV32" s="7">
        <f>BV31+BT32-BU32</f>
        <v>900</v>
      </c>
    </row>
    <row r="33" spans="49:74" x14ac:dyDescent="0.35">
      <c r="AW33" s="2" t="s">
        <v>79</v>
      </c>
      <c r="AX33" s="15"/>
      <c r="AY33" s="15"/>
      <c r="AZ33" s="19">
        <f>AZ29-AZ30+AZ31-AZ32</f>
        <v>16450</v>
      </c>
      <c r="BQ33" s="8"/>
      <c r="BR33" s="7"/>
      <c r="BS33" s="7"/>
      <c r="BT33" s="7"/>
      <c r="BU33" s="7"/>
      <c r="BV33" s="7">
        <f t="shared" ref="BV33:BV35" si="11">BV32+BT33-BU33</f>
        <v>900</v>
      </c>
    </row>
    <row r="34" spans="49:74" ht="18.5" x14ac:dyDescent="0.45">
      <c r="AW34" s="3" t="s">
        <v>77</v>
      </c>
      <c r="AX34" s="20"/>
      <c r="AY34" s="20"/>
      <c r="AZ34" s="21">
        <f>AZ27+AZ29-AZ30+AZ31-AZ32</f>
        <v>18050</v>
      </c>
      <c r="BQ34" s="8"/>
      <c r="BR34" s="7"/>
      <c r="BS34" s="7"/>
      <c r="BT34" s="7"/>
      <c r="BU34" s="7"/>
      <c r="BV34" s="7">
        <f t="shared" si="11"/>
        <v>900</v>
      </c>
    </row>
    <row r="35" spans="49:74" x14ac:dyDescent="0.35">
      <c r="BQ35" s="8"/>
      <c r="BR35" s="7"/>
      <c r="BS35" s="7"/>
      <c r="BT35" s="7"/>
      <c r="BU35" s="7"/>
      <c r="BV35" s="7">
        <f t="shared" si="11"/>
        <v>900</v>
      </c>
    </row>
    <row r="37" spans="49:74" x14ac:dyDescent="0.35">
      <c r="BQ37" s="118" t="s">
        <v>61</v>
      </c>
      <c r="BR37" s="119"/>
      <c r="BS37" s="119"/>
      <c r="BT37" s="119"/>
      <c r="BU37" s="119"/>
      <c r="BV37" s="120"/>
    </row>
    <row r="38" spans="49:74" x14ac:dyDescent="0.35">
      <c r="BQ38" s="9" t="s">
        <v>62</v>
      </c>
      <c r="BR38" s="9" t="s">
        <v>63</v>
      </c>
      <c r="BS38" s="9" t="s">
        <v>64</v>
      </c>
      <c r="BT38" s="9" t="s">
        <v>66</v>
      </c>
      <c r="BU38" s="9" t="s">
        <v>67</v>
      </c>
      <c r="BV38" s="9" t="s">
        <v>65</v>
      </c>
    </row>
    <row r="39" spans="49:74" x14ac:dyDescent="0.35">
      <c r="BQ39" s="8">
        <v>45658</v>
      </c>
      <c r="BR39" s="7"/>
      <c r="BS39" s="7"/>
      <c r="BT39" s="7">
        <v>200</v>
      </c>
      <c r="BU39" s="7"/>
      <c r="BV39" s="7">
        <f>BT39</f>
        <v>200</v>
      </c>
    </row>
    <row r="40" spans="49:74" x14ac:dyDescent="0.35">
      <c r="BQ40" s="8"/>
      <c r="BR40" s="7"/>
      <c r="BS40" s="7"/>
      <c r="BT40" s="7"/>
      <c r="BU40" s="7"/>
      <c r="BV40" s="7">
        <f>BV39+BT40-BU40</f>
        <v>200</v>
      </c>
    </row>
    <row r="41" spans="49:74" x14ac:dyDescent="0.35">
      <c r="BQ41" s="8"/>
      <c r="BR41" s="7"/>
      <c r="BS41" s="7"/>
      <c r="BT41" s="7"/>
      <c r="BU41" s="7"/>
      <c r="BV41" s="7">
        <f t="shared" ref="BV41:BV43" si="12">BV40+BT41-BU41</f>
        <v>200</v>
      </c>
    </row>
    <row r="42" spans="49:74" x14ac:dyDescent="0.35">
      <c r="BQ42" s="8"/>
      <c r="BR42" s="7"/>
      <c r="BS42" s="7"/>
      <c r="BT42" s="7"/>
      <c r="BU42" s="7"/>
      <c r="BV42" s="7">
        <f t="shared" si="12"/>
        <v>200</v>
      </c>
    </row>
    <row r="43" spans="49:74" x14ac:dyDescent="0.35">
      <c r="BQ43" s="8"/>
      <c r="BR43" s="7"/>
      <c r="BS43" s="7"/>
      <c r="BT43" s="7"/>
      <c r="BU43" s="7"/>
      <c r="BV43" s="7">
        <f t="shared" si="12"/>
        <v>200</v>
      </c>
    </row>
  </sheetData>
  <mergeCells count="17">
    <mergeCell ref="B5:K5"/>
    <mergeCell ref="AV3:BV3"/>
    <mergeCell ref="M3:AM3"/>
    <mergeCell ref="AO5:AT5"/>
    <mergeCell ref="AO3:AT3"/>
    <mergeCell ref="AV5:BA5"/>
    <mergeCell ref="BC5:BH5"/>
    <mergeCell ref="BJ5:BO5"/>
    <mergeCell ref="BQ13:BV13"/>
    <mergeCell ref="BQ21:BV21"/>
    <mergeCell ref="BQ29:BV29"/>
    <mergeCell ref="BQ37:BV37"/>
    <mergeCell ref="M5:R5"/>
    <mergeCell ref="T5:Y5"/>
    <mergeCell ref="AA5:AF5"/>
    <mergeCell ref="AH5:AM5"/>
    <mergeCell ref="BQ5:BV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A40"/>
  <sheetViews>
    <sheetView topLeftCell="A25" zoomScale="96" zoomScaleNormal="96" workbookViewId="0">
      <selection activeCell="BA31" sqref="BA31"/>
    </sheetView>
  </sheetViews>
  <sheetFormatPr defaultColWidth="9.1796875" defaultRowHeight="14.5" x14ac:dyDescent="0.35"/>
  <cols>
    <col min="1" max="1" width="9.1796875" style="1"/>
    <col min="2" max="2" width="11" style="1" bestFit="1" customWidth="1"/>
    <col min="3" max="3" width="50.54296875" style="1" bestFit="1" customWidth="1"/>
    <col min="4" max="4" width="5" style="1" bestFit="1" customWidth="1"/>
    <col min="5" max="6" width="9.1796875" style="1"/>
    <col min="7" max="7" width="3.7265625" style="1" customWidth="1"/>
    <col min="8" max="8" width="32.453125" style="1" bestFit="1" customWidth="1"/>
    <col min="9" max="9" width="5" style="1" customWidth="1"/>
    <col min="10" max="10" width="17.26953125" style="41" customWidth="1"/>
    <col min="11" max="11" width="5.1796875" style="41" customWidth="1"/>
    <col min="12" max="13" width="17.26953125" style="41" customWidth="1"/>
    <col min="14" max="14" width="8.453125" style="41" bestFit="1" customWidth="1"/>
    <col min="15" max="15" width="3" style="41" customWidth="1"/>
    <col min="16" max="16" width="8.453125" style="41" bestFit="1" customWidth="1"/>
    <col min="17" max="17" width="3.54296875" style="1" customWidth="1"/>
    <col min="18" max="18" width="9.1796875" style="1"/>
    <col min="19" max="19" width="9.1796875" style="1" customWidth="1"/>
    <col min="20" max="20" width="5" style="1" bestFit="1" customWidth="1"/>
    <col min="21" max="22" width="9.1796875" style="1"/>
    <col min="23" max="23" width="7.81640625" style="1" bestFit="1" customWidth="1"/>
    <col min="24" max="24" width="3.81640625" style="1" customWidth="1"/>
    <col min="25" max="26" width="9.1796875" style="1"/>
    <col min="27" max="27" width="5" style="1" bestFit="1" customWidth="1"/>
    <col min="28" max="29" width="9.1796875" style="1"/>
    <col min="30" max="30" width="7.81640625" style="1" bestFit="1" customWidth="1"/>
    <col min="31" max="31" width="2.81640625" style="1" customWidth="1"/>
    <col min="32" max="33" width="9.1796875" style="1"/>
    <col min="34" max="34" width="5" style="1" bestFit="1" customWidth="1"/>
    <col min="35" max="36" width="9.1796875" style="1"/>
    <col min="37" max="37" width="7.81640625" style="1" bestFit="1" customWidth="1"/>
    <col min="38" max="38" width="2.81640625" style="1" customWidth="1"/>
    <col min="39" max="40" width="9.1796875" style="1"/>
    <col min="41" max="41" width="5" style="1" bestFit="1" customWidth="1"/>
    <col min="42" max="43" width="9.1796875" style="1"/>
    <col min="44" max="44" width="7.81640625" style="1" bestFit="1" customWidth="1"/>
    <col min="45" max="45" width="3.453125" style="1" customWidth="1"/>
    <col min="46" max="46" width="9.1796875" style="1"/>
    <col min="47" max="47" width="11.453125" style="1" bestFit="1" customWidth="1"/>
    <col min="48" max="48" width="5" style="1" bestFit="1" customWidth="1"/>
    <col min="49" max="50" width="9.1796875" style="1"/>
    <col min="51" max="51" width="7.81640625" style="1" bestFit="1" customWidth="1"/>
    <col min="52" max="52" width="2.54296875" style="1" bestFit="1" customWidth="1"/>
    <col min="53" max="54" width="9.1796875" style="1"/>
    <col min="55" max="55" width="5" style="1" bestFit="1" customWidth="1"/>
    <col min="56" max="57" width="9.1796875" style="1"/>
    <col min="58" max="58" width="7.81640625" style="1" bestFit="1" customWidth="1"/>
    <col min="59" max="59" width="2.81640625" style="1" customWidth="1"/>
    <col min="60" max="61" width="9.1796875" style="1"/>
    <col min="62" max="62" width="5" style="1" bestFit="1" customWidth="1"/>
    <col min="63" max="64" width="9.1796875" style="1"/>
    <col min="65" max="65" width="7.81640625" style="1" bestFit="1" customWidth="1"/>
    <col min="66" max="66" width="3.26953125" style="1" customWidth="1"/>
    <col min="67" max="68" width="9.1796875" style="1"/>
    <col min="69" max="69" width="5" style="1" bestFit="1" customWidth="1"/>
    <col min="70" max="71" width="9.1796875" style="1"/>
    <col min="72" max="72" width="7.81640625" style="1" bestFit="1" customWidth="1"/>
    <col min="73" max="73" width="2.81640625" style="1" customWidth="1"/>
    <col min="74" max="78" width="9.1796875" style="1"/>
    <col min="79" max="79" width="7.81640625" style="1" bestFit="1" customWidth="1"/>
    <col min="80" max="16384" width="9.1796875" style="1"/>
  </cols>
  <sheetData>
    <row r="2" spans="2:79" ht="15" thickBot="1" x14ac:dyDescent="0.4"/>
    <row r="3" spans="2:79" ht="19" thickBot="1" x14ac:dyDescent="0.5">
      <c r="B3" s="125" t="s">
        <v>87</v>
      </c>
      <c r="C3" s="126"/>
      <c r="D3" s="126"/>
      <c r="E3" s="47" t="s">
        <v>97</v>
      </c>
      <c r="F3" s="48" t="s">
        <v>98</v>
      </c>
      <c r="H3" s="35" t="s">
        <v>0</v>
      </c>
      <c r="I3" s="36"/>
      <c r="J3" s="42"/>
      <c r="K3" s="56"/>
      <c r="L3" s="127" t="s">
        <v>111</v>
      </c>
      <c r="M3" s="128"/>
      <c r="N3" s="128"/>
      <c r="O3" s="128"/>
      <c r="P3" s="129"/>
      <c r="R3" s="118" t="s">
        <v>6</v>
      </c>
      <c r="S3" s="119"/>
      <c r="T3" s="119"/>
      <c r="U3" s="119"/>
      <c r="V3" s="119"/>
      <c r="W3" s="120"/>
      <c r="Y3" s="118" t="s">
        <v>11</v>
      </c>
      <c r="Z3" s="119"/>
      <c r="AA3" s="119"/>
      <c r="AB3" s="119"/>
      <c r="AC3" s="119"/>
      <c r="AD3" s="120"/>
      <c r="AF3" s="118" t="s">
        <v>101</v>
      </c>
      <c r="AG3" s="119"/>
      <c r="AH3" s="119"/>
      <c r="AI3" s="119"/>
      <c r="AJ3" s="119"/>
      <c r="AK3" s="120"/>
      <c r="AM3" s="118" t="s">
        <v>14</v>
      </c>
      <c r="AN3" s="119"/>
      <c r="AO3" s="119"/>
      <c r="AP3" s="119"/>
      <c r="AQ3" s="119"/>
      <c r="AR3" s="120"/>
      <c r="AT3" s="118" t="s">
        <v>94</v>
      </c>
      <c r="AU3" s="119"/>
      <c r="AV3" s="119"/>
      <c r="AW3" s="119"/>
      <c r="AX3" s="119"/>
      <c r="AY3" s="120"/>
      <c r="BA3" s="118" t="s">
        <v>32</v>
      </c>
      <c r="BB3" s="119"/>
      <c r="BC3" s="119"/>
      <c r="BD3" s="119"/>
      <c r="BE3" s="119"/>
      <c r="BF3" s="120"/>
      <c r="BG3" s="11" t="s">
        <v>116</v>
      </c>
      <c r="BH3" s="118" t="s">
        <v>73</v>
      </c>
      <c r="BI3" s="119"/>
      <c r="BJ3" s="119"/>
      <c r="BK3" s="119"/>
      <c r="BL3" s="119"/>
      <c r="BM3" s="120"/>
      <c r="BN3" s="11" t="s">
        <v>69</v>
      </c>
      <c r="BO3" s="118" t="s">
        <v>106</v>
      </c>
      <c r="BP3" s="119"/>
      <c r="BQ3" s="119"/>
      <c r="BR3" s="119"/>
      <c r="BS3" s="119"/>
      <c r="BT3" s="120"/>
      <c r="BU3" s="11" t="s">
        <v>116</v>
      </c>
      <c r="BV3" s="118" t="s">
        <v>82</v>
      </c>
      <c r="BW3" s="119"/>
      <c r="BX3" s="119"/>
      <c r="BY3" s="119"/>
      <c r="BZ3" s="119"/>
      <c r="CA3" s="120"/>
    </row>
    <row r="4" spans="2:79" ht="18.5" x14ac:dyDescent="0.45">
      <c r="B4" s="43" t="s">
        <v>62</v>
      </c>
      <c r="C4" s="43" t="s">
        <v>86</v>
      </c>
      <c r="D4" s="43" t="s">
        <v>64</v>
      </c>
      <c r="E4" s="43" t="s">
        <v>84</v>
      </c>
      <c r="F4" s="43" t="s">
        <v>85</v>
      </c>
      <c r="H4" s="37" t="s">
        <v>6</v>
      </c>
      <c r="I4" s="38"/>
      <c r="J4" s="49">
        <f>W16</f>
        <v>15200</v>
      </c>
      <c r="K4" s="57"/>
      <c r="L4" s="130" t="s">
        <v>114</v>
      </c>
      <c r="M4" s="131"/>
      <c r="N4" s="131"/>
      <c r="O4" s="131"/>
      <c r="P4" s="132"/>
      <c r="R4" s="33"/>
      <c r="S4" s="34"/>
      <c r="T4" s="34"/>
      <c r="U4" s="34"/>
      <c r="V4" s="44" t="s">
        <v>89</v>
      </c>
      <c r="W4" s="45">
        <v>101</v>
      </c>
      <c r="Y4" s="33"/>
      <c r="Z4" s="34"/>
      <c r="AA4" s="34"/>
      <c r="AB4" s="34"/>
      <c r="AC4" s="44" t="s">
        <v>89</v>
      </c>
      <c r="AD4" s="45">
        <v>126</v>
      </c>
      <c r="AF4" s="33"/>
      <c r="AG4" s="34"/>
      <c r="AH4" s="34"/>
      <c r="AI4" s="34"/>
      <c r="AJ4" s="44" t="s">
        <v>89</v>
      </c>
      <c r="AK4" s="45">
        <v>130</v>
      </c>
      <c r="AM4" s="33"/>
      <c r="AN4" s="34"/>
      <c r="AO4" s="34"/>
      <c r="AP4" s="34"/>
      <c r="AQ4" s="44" t="s">
        <v>89</v>
      </c>
      <c r="AR4" s="45">
        <v>157</v>
      </c>
      <c r="AT4" s="33"/>
      <c r="AU4" s="34"/>
      <c r="AV4" s="34"/>
      <c r="AW4" s="34"/>
      <c r="AX4" s="44" t="s">
        <v>89</v>
      </c>
      <c r="AY4" s="45">
        <v>200</v>
      </c>
      <c r="BA4" s="33"/>
      <c r="BB4" s="34"/>
      <c r="BC4" s="34"/>
      <c r="BD4" s="34"/>
      <c r="BE4" s="44" t="s">
        <v>89</v>
      </c>
      <c r="BF4" s="45">
        <v>301</v>
      </c>
      <c r="BH4" s="33"/>
      <c r="BI4" s="34"/>
      <c r="BJ4" s="34"/>
      <c r="BK4" s="34"/>
      <c r="BL4" s="44" t="s">
        <v>89</v>
      </c>
      <c r="BM4" s="45">
        <v>306</v>
      </c>
      <c r="BO4" s="33"/>
      <c r="BP4" s="34"/>
      <c r="BQ4" s="34"/>
      <c r="BR4" s="34"/>
      <c r="BS4" s="44" t="s">
        <v>89</v>
      </c>
      <c r="BT4" s="45">
        <v>400</v>
      </c>
      <c r="BV4" s="33"/>
      <c r="BW4" s="34"/>
      <c r="BX4" s="34"/>
      <c r="BY4" s="34"/>
      <c r="BZ4" s="44" t="s">
        <v>89</v>
      </c>
      <c r="CA4" s="45">
        <v>729</v>
      </c>
    </row>
    <row r="5" spans="2:79" ht="15.5" x14ac:dyDescent="0.35">
      <c r="B5" s="74" t="s">
        <v>88</v>
      </c>
      <c r="C5" s="74" t="s">
        <v>6</v>
      </c>
      <c r="D5" s="13">
        <v>101</v>
      </c>
      <c r="E5" s="95">
        <v>10000</v>
      </c>
      <c r="F5" s="14"/>
      <c r="H5" s="2" t="s">
        <v>109</v>
      </c>
      <c r="I5" s="15"/>
      <c r="J5" s="53">
        <f>AK10</f>
        <v>600</v>
      </c>
      <c r="K5" s="58"/>
      <c r="L5" s="63"/>
      <c r="M5" s="58"/>
      <c r="N5" s="69" t="s">
        <v>112</v>
      </c>
      <c r="O5" s="70"/>
      <c r="P5" s="71" t="s">
        <v>85</v>
      </c>
      <c r="R5" s="9" t="s">
        <v>62</v>
      </c>
      <c r="S5" s="9" t="s">
        <v>63</v>
      </c>
      <c r="T5" s="9" t="s">
        <v>115</v>
      </c>
      <c r="U5" s="9" t="s">
        <v>66</v>
      </c>
      <c r="V5" s="9" t="s">
        <v>67</v>
      </c>
      <c r="W5" s="9" t="s">
        <v>65</v>
      </c>
      <c r="Y5" s="9" t="s">
        <v>62</v>
      </c>
      <c r="Z5" s="9" t="s">
        <v>63</v>
      </c>
      <c r="AA5" s="9" t="s">
        <v>115</v>
      </c>
      <c r="AB5" s="9" t="s">
        <v>66</v>
      </c>
      <c r="AC5" s="9" t="s">
        <v>67</v>
      </c>
      <c r="AD5" s="9" t="s">
        <v>65</v>
      </c>
      <c r="AF5" s="9" t="s">
        <v>62</v>
      </c>
      <c r="AG5" s="9" t="s">
        <v>63</v>
      </c>
      <c r="AH5" s="9" t="s">
        <v>115</v>
      </c>
      <c r="AI5" s="9" t="s">
        <v>66</v>
      </c>
      <c r="AJ5" s="9" t="s">
        <v>67</v>
      </c>
      <c r="AK5" s="9" t="s">
        <v>65</v>
      </c>
      <c r="AM5" s="9" t="s">
        <v>62</v>
      </c>
      <c r="AN5" s="9" t="s">
        <v>63</v>
      </c>
      <c r="AO5" s="9" t="s">
        <v>115</v>
      </c>
      <c r="AP5" s="9" t="s">
        <v>66</v>
      </c>
      <c r="AQ5" s="9" t="s">
        <v>67</v>
      </c>
      <c r="AR5" s="9" t="s">
        <v>65</v>
      </c>
      <c r="AT5" s="9" t="s">
        <v>62</v>
      </c>
      <c r="AU5" s="9" t="s">
        <v>63</v>
      </c>
      <c r="AV5" s="9" t="s">
        <v>115</v>
      </c>
      <c r="AW5" s="9" t="s">
        <v>70</v>
      </c>
      <c r="AX5" s="9" t="s">
        <v>71</v>
      </c>
      <c r="AY5" s="9" t="s">
        <v>65</v>
      </c>
      <c r="BA5" s="9" t="s">
        <v>62</v>
      </c>
      <c r="BB5" s="9" t="s">
        <v>63</v>
      </c>
      <c r="BC5" s="9" t="s">
        <v>115</v>
      </c>
      <c r="BD5" s="9" t="s">
        <v>70</v>
      </c>
      <c r="BE5" s="9" t="s">
        <v>71</v>
      </c>
      <c r="BF5" s="9" t="s">
        <v>65</v>
      </c>
      <c r="BH5" s="9" t="s">
        <v>62</v>
      </c>
      <c r="BI5" s="9" t="s">
        <v>63</v>
      </c>
      <c r="BJ5" s="9" t="s">
        <v>115</v>
      </c>
      <c r="BK5" s="9" t="s">
        <v>66</v>
      </c>
      <c r="BL5" s="9" t="s">
        <v>67</v>
      </c>
      <c r="BM5" s="9" t="s">
        <v>65</v>
      </c>
      <c r="BO5" s="9" t="s">
        <v>62</v>
      </c>
      <c r="BP5" s="9" t="s">
        <v>63</v>
      </c>
      <c r="BQ5" s="9" t="s">
        <v>115</v>
      </c>
      <c r="BR5" s="9" t="s">
        <v>70</v>
      </c>
      <c r="BS5" s="9" t="s">
        <v>71</v>
      </c>
      <c r="BT5" s="9" t="s">
        <v>65</v>
      </c>
      <c r="BV5" s="9" t="s">
        <v>62</v>
      </c>
      <c r="BW5" s="9" t="s">
        <v>63</v>
      </c>
      <c r="BX5" s="9" t="s">
        <v>115</v>
      </c>
      <c r="BY5" s="9" t="s">
        <v>66</v>
      </c>
      <c r="BZ5" s="9" t="s">
        <v>67</v>
      </c>
      <c r="CA5" s="9" t="s">
        <v>65</v>
      </c>
    </row>
    <row r="6" spans="2:79" x14ac:dyDescent="0.35">
      <c r="B6" s="75"/>
      <c r="C6" s="75" t="s">
        <v>90</v>
      </c>
      <c r="D6" s="15">
        <v>301</v>
      </c>
      <c r="E6" s="75"/>
      <c r="F6" s="54">
        <v>10000</v>
      </c>
      <c r="H6" s="37" t="s">
        <v>11</v>
      </c>
      <c r="I6" s="38"/>
      <c r="J6" s="49">
        <f>AD10</f>
        <v>2500</v>
      </c>
      <c r="K6" s="57"/>
      <c r="L6" s="37" t="s">
        <v>6</v>
      </c>
      <c r="M6" s="57"/>
      <c r="N6" s="57">
        <f>J4</f>
        <v>15200</v>
      </c>
      <c r="O6" s="57"/>
      <c r="P6" s="49"/>
      <c r="R6" s="8">
        <v>45658</v>
      </c>
      <c r="S6" s="7"/>
      <c r="T6" s="7" t="s">
        <v>98</v>
      </c>
      <c r="U6" s="46">
        <f>E5</f>
        <v>10000</v>
      </c>
      <c r="V6" s="7"/>
      <c r="W6" s="7">
        <f>U6</f>
        <v>10000</v>
      </c>
      <c r="Y6" s="8">
        <v>45658</v>
      </c>
      <c r="Z6" s="7"/>
      <c r="AA6" s="7" t="s">
        <v>98</v>
      </c>
      <c r="AB6" s="7">
        <f>E25</f>
        <v>2500</v>
      </c>
      <c r="AC6" s="7"/>
      <c r="AD6" s="7">
        <f>AB6</f>
        <v>2500</v>
      </c>
      <c r="AF6" s="8">
        <v>45658</v>
      </c>
      <c r="AG6" s="7"/>
      <c r="AH6" s="7" t="s">
        <v>98</v>
      </c>
      <c r="AI6" s="46">
        <f>E21</f>
        <v>600</v>
      </c>
      <c r="AJ6" s="7"/>
      <c r="AK6" s="7">
        <f>AI6</f>
        <v>600</v>
      </c>
      <c r="AM6" s="8">
        <v>45658</v>
      </c>
      <c r="AN6" s="7"/>
      <c r="AO6" s="7" t="s">
        <v>98</v>
      </c>
      <c r="AP6" s="46">
        <f>E9</f>
        <v>5000</v>
      </c>
      <c r="AQ6" s="7"/>
      <c r="AR6" s="7">
        <f>AP6</f>
        <v>5000</v>
      </c>
      <c r="AT6" s="8">
        <v>45658</v>
      </c>
      <c r="AU6" s="7"/>
      <c r="AV6" s="7" t="s">
        <v>98</v>
      </c>
      <c r="AW6" s="7"/>
      <c r="AX6" s="46">
        <f>E9</f>
        <v>5000</v>
      </c>
      <c r="AY6" s="7">
        <f>AX6</f>
        <v>5000</v>
      </c>
      <c r="BA6" s="8">
        <v>45658</v>
      </c>
      <c r="BB6" s="7"/>
      <c r="BC6" s="7" t="s">
        <v>98</v>
      </c>
      <c r="BD6" s="7"/>
      <c r="BE6" s="46">
        <f>F6</f>
        <v>10000</v>
      </c>
      <c r="BF6" s="7">
        <f>BE6</f>
        <v>10000</v>
      </c>
      <c r="BH6" s="8">
        <v>45658</v>
      </c>
      <c r="BI6" s="7"/>
      <c r="BJ6" s="7" t="s">
        <v>98</v>
      </c>
      <c r="BK6" s="7">
        <f>E29</f>
        <v>500</v>
      </c>
      <c r="BL6" s="7"/>
      <c r="BM6" s="7">
        <f>BK6</f>
        <v>500</v>
      </c>
      <c r="BO6" s="8">
        <v>45658</v>
      </c>
      <c r="BP6" s="7"/>
      <c r="BQ6" s="7" t="s">
        <v>98</v>
      </c>
      <c r="BR6" s="7"/>
      <c r="BS6" s="46">
        <f>F38</f>
        <v>10000</v>
      </c>
      <c r="BT6" s="7">
        <f>BS6</f>
        <v>10000</v>
      </c>
      <c r="BV6" s="8">
        <v>45658</v>
      </c>
      <c r="BW6" s="7"/>
      <c r="BX6" s="7" t="s">
        <v>98</v>
      </c>
      <c r="BY6" s="7">
        <f>E17</f>
        <v>900</v>
      </c>
      <c r="BZ6" s="7"/>
      <c r="CA6" s="7">
        <f>BY6</f>
        <v>900</v>
      </c>
    </row>
    <row r="7" spans="2:79" x14ac:dyDescent="0.35">
      <c r="B7" s="75"/>
      <c r="C7" s="75" t="s">
        <v>91</v>
      </c>
      <c r="D7" s="15"/>
      <c r="E7" s="75"/>
      <c r="F7" s="16"/>
      <c r="H7" s="37" t="s">
        <v>14</v>
      </c>
      <c r="I7" s="38"/>
      <c r="J7" s="49">
        <f>AR10</f>
        <v>5000</v>
      </c>
      <c r="K7" s="57"/>
      <c r="L7" s="2" t="s">
        <v>109</v>
      </c>
      <c r="M7" s="57"/>
      <c r="N7" s="57">
        <f t="shared" ref="N7:N9" si="0">J5</f>
        <v>600</v>
      </c>
      <c r="O7" s="57"/>
      <c r="P7" s="49"/>
      <c r="R7" s="8"/>
      <c r="S7" s="7"/>
      <c r="T7" s="7" t="s">
        <v>98</v>
      </c>
      <c r="U7" s="46">
        <f>E13</f>
        <v>1200</v>
      </c>
      <c r="V7" s="7"/>
      <c r="W7" s="7">
        <f>W6+U7-V7</f>
        <v>11200</v>
      </c>
      <c r="Y7" s="8"/>
      <c r="Z7" s="7"/>
      <c r="AA7" s="7"/>
      <c r="AB7" s="7"/>
      <c r="AC7" s="7"/>
      <c r="AD7" s="7">
        <f>AD6+AB7-AC7</f>
        <v>2500</v>
      </c>
      <c r="AF7" s="8"/>
      <c r="AG7" s="7"/>
      <c r="AH7" s="7"/>
      <c r="AI7" s="7"/>
      <c r="AJ7" s="7"/>
      <c r="AK7" s="7">
        <f>AK6+AI7-AJ7</f>
        <v>600</v>
      </c>
      <c r="AM7" s="8"/>
      <c r="AN7" s="7"/>
      <c r="AO7" s="7"/>
      <c r="AP7" s="7"/>
      <c r="AQ7" s="7"/>
      <c r="AR7" s="7">
        <f>AR6+AP7-AQ7</f>
        <v>5000</v>
      </c>
      <c r="AT7" s="8"/>
      <c r="AU7" s="7"/>
      <c r="AV7" s="7"/>
      <c r="AW7" s="7"/>
      <c r="AX7" s="7"/>
      <c r="AY7" s="7">
        <f>+AY6+AX7-AW7</f>
        <v>5000</v>
      </c>
      <c r="BA7" s="8"/>
      <c r="BB7" s="7"/>
      <c r="BC7" s="7"/>
      <c r="BD7" s="7"/>
      <c r="BE7" s="7"/>
      <c r="BF7" s="7">
        <f>BF6+BE7-BD7</f>
        <v>10000</v>
      </c>
      <c r="BH7" s="8"/>
      <c r="BI7" s="7"/>
      <c r="BJ7" s="7"/>
      <c r="BK7" s="7"/>
      <c r="BL7" s="7"/>
      <c r="BM7" s="7">
        <f>BM6+BK7-BL7</f>
        <v>500</v>
      </c>
      <c r="BO7" s="8"/>
      <c r="BP7" s="7"/>
      <c r="BQ7" s="7"/>
      <c r="BR7" s="7"/>
      <c r="BS7" s="7"/>
      <c r="BT7" s="7">
        <f>BT6+BS7-BR7</f>
        <v>10000</v>
      </c>
      <c r="BV7" s="8"/>
      <c r="BW7" s="7"/>
      <c r="BX7" s="7"/>
      <c r="BY7" s="7"/>
      <c r="BZ7" s="7"/>
      <c r="CA7" s="7">
        <f>CA6+BY7-BZ7</f>
        <v>900</v>
      </c>
    </row>
    <row r="8" spans="2:79" ht="18.5" x14ac:dyDescent="0.45">
      <c r="B8" s="75"/>
      <c r="C8" s="75"/>
      <c r="D8" s="15"/>
      <c r="E8" s="75"/>
      <c r="F8" s="16"/>
      <c r="H8" s="37" t="s">
        <v>76</v>
      </c>
      <c r="I8" s="38"/>
      <c r="J8" s="50">
        <f>SUM(J4:J7)</f>
        <v>23300</v>
      </c>
      <c r="K8" s="59"/>
      <c r="L8" s="37" t="s">
        <v>11</v>
      </c>
      <c r="M8" s="59"/>
      <c r="N8" s="57">
        <f t="shared" si="0"/>
        <v>2500</v>
      </c>
      <c r="O8" s="59"/>
      <c r="P8" s="50"/>
      <c r="R8" s="8"/>
      <c r="S8" s="7"/>
      <c r="T8" s="7" t="s">
        <v>98</v>
      </c>
      <c r="U8" s="7"/>
      <c r="V8" s="7">
        <f>F18</f>
        <v>900</v>
      </c>
      <c r="W8" s="7">
        <f t="shared" ref="W8:W16" si="1">W7+U8-V8</f>
        <v>10300</v>
      </c>
      <c r="Y8" s="8"/>
      <c r="Z8" s="7"/>
      <c r="AA8" s="7"/>
      <c r="AB8" s="7"/>
      <c r="AC8" s="7"/>
      <c r="AD8" s="7">
        <f t="shared" ref="AD8:AD10" si="2">AD7+AB8-AC8</f>
        <v>2500</v>
      </c>
      <c r="AF8" s="8"/>
      <c r="AG8" s="7"/>
      <c r="AH8" s="7"/>
      <c r="AI8" s="7"/>
      <c r="AJ8" s="7"/>
      <c r="AK8" s="7">
        <f t="shared" ref="AK8:AK10" si="3">AK7+AI8-AJ8</f>
        <v>600</v>
      </c>
      <c r="AM8" s="8"/>
      <c r="AN8" s="7"/>
      <c r="AO8" s="7"/>
      <c r="AP8" s="7"/>
      <c r="AQ8" s="7"/>
      <c r="AR8" s="7">
        <f t="shared" ref="AR8:AR10" si="4">AR7+AP8-AQ8</f>
        <v>5000</v>
      </c>
      <c r="AT8" s="8"/>
      <c r="AU8" s="7"/>
      <c r="AV8" s="7"/>
      <c r="AW8" s="7"/>
      <c r="AX8" s="7"/>
      <c r="AY8" s="7">
        <f>+AY7+AX8-AW8</f>
        <v>5000</v>
      </c>
      <c r="BA8" s="8"/>
      <c r="BB8" s="7"/>
      <c r="BC8" s="7"/>
      <c r="BD8" s="7"/>
      <c r="BE8" s="7"/>
      <c r="BF8" s="7">
        <f t="shared" ref="BF8:BF10" si="5">BF7+BE8-BD8</f>
        <v>10000</v>
      </c>
      <c r="BH8" s="8"/>
      <c r="BI8" s="7"/>
      <c r="BJ8" s="7"/>
      <c r="BK8" s="7"/>
      <c r="BL8" s="7"/>
      <c r="BM8" s="7">
        <f t="shared" ref="BM8:BM10" si="6">BM7+BK8-BL8</f>
        <v>500</v>
      </c>
      <c r="BO8" s="8"/>
      <c r="BP8" s="7"/>
      <c r="BQ8" s="7"/>
      <c r="BR8" s="7"/>
      <c r="BS8" s="7"/>
      <c r="BT8" s="7">
        <f t="shared" ref="BT8:BT10" si="7">BT7+BS8-BR8</f>
        <v>10000</v>
      </c>
      <c r="BV8" s="8"/>
      <c r="BW8" s="7"/>
      <c r="BX8" s="7"/>
      <c r="BY8" s="7"/>
      <c r="BZ8" s="7"/>
      <c r="CA8" s="7">
        <f t="shared" ref="CA8:CA10" si="8">CA7+BY8-BZ8</f>
        <v>900</v>
      </c>
    </row>
    <row r="9" spans="2:79" x14ac:dyDescent="0.35">
      <c r="B9" s="75">
        <v>1</v>
      </c>
      <c r="C9" s="75" t="s">
        <v>14</v>
      </c>
      <c r="D9" s="15">
        <v>157</v>
      </c>
      <c r="E9" s="96">
        <v>5000</v>
      </c>
      <c r="F9" s="16"/>
      <c r="H9" s="37"/>
      <c r="I9" s="38"/>
      <c r="J9" s="49"/>
      <c r="K9" s="57"/>
      <c r="L9" s="37" t="s">
        <v>14</v>
      </c>
      <c r="M9" s="57"/>
      <c r="N9" s="57">
        <f t="shared" si="0"/>
        <v>5000</v>
      </c>
      <c r="O9" s="57"/>
      <c r="P9" s="49"/>
      <c r="R9" s="8"/>
      <c r="S9" s="7"/>
      <c r="T9" s="7" t="s">
        <v>98</v>
      </c>
      <c r="U9" s="7"/>
      <c r="V9" s="7">
        <f>F22</f>
        <v>600</v>
      </c>
      <c r="W9" s="7">
        <f t="shared" si="1"/>
        <v>9700</v>
      </c>
      <c r="Y9" s="8"/>
      <c r="Z9" s="7"/>
      <c r="AA9" s="7"/>
      <c r="AB9" s="7"/>
      <c r="AC9" s="7"/>
      <c r="AD9" s="7">
        <f t="shared" si="2"/>
        <v>2500</v>
      </c>
      <c r="AF9" s="8"/>
      <c r="AG9" s="7"/>
      <c r="AH9" s="7"/>
      <c r="AI9" s="7"/>
      <c r="AJ9" s="7"/>
      <c r="AK9" s="7">
        <f t="shared" si="3"/>
        <v>600</v>
      </c>
      <c r="AM9" s="8"/>
      <c r="AN9" s="7"/>
      <c r="AO9" s="7"/>
      <c r="AP9" s="7"/>
      <c r="AQ9" s="7"/>
      <c r="AR9" s="7">
        <f t="shared" si="4"/>
        <v>5000</v>
      </c>
      <c r="AT9" s="8"/>
      <c r="AU9" s="7"/>
      <c r="AV9" s="7"/>
      <c r="AW9" s="7"/>
      <c r="AX9" s="7"/>
      <c r="AY9" s="7">
        <f t="shared" ref="AY9:AY10" si="9">+AY8+AX9-AW9</f>
        <v>5000</v>
      </c>
      <c r="BA9" s="8"/>
      <c r="BB9" s="7"/>
      <c r="BC9" s="7"/>
      <c r="BD9" s="7"/>
      <c r="BE9" s="7"/>
      <c r="BF9" s="7">
        <f t="shared" si="5"/>
        <v>10000</v>
      </c>
      <c r="BH9" s="8"/>
      <c r="BI9" s="7"/>
      <c r="BJ9" s="7"/>
      <c r="BK9" s="7"/>
      <c r="BL9" s="7"/>
      <c r="BM9" s="7">
        <f t="shared" si="6"/>
        <v>500</v>
      </c>
      <c r="BO9" s="8"/>
      <c r="BP9" s="7"/>
      <c r="BQ9" s="7"/>
      <c r="BR9" s="7"/>
      <c r="BS9" s="7"/>
      <c r="BT9" s="7">
        <f t="shared" si="7"/>
        <v>10000</v>
      </c>
      <c r="BV9" s="8"/>
      <c r="BW9" s="7"/>
      <c r="BX9" s="7"/>
      <c r="BY9" s="7"/>
      <c r="BZ9" s="7"/>
      <c r="CA9" s="7">
        <f t="shared" si="8"/>
        <v>900</v>
      </c>
    </row>
    <row r="10" spans="2:79" ht="18.5" x14ac:dyDescent="0.45">
      <c r="B10" s="75"/>
      <c r="C10" s="75" t="s">
        <v>92</v>
      </c>
      <c r="D10" s="15">
        <v>200</v>
      </c>
      <c r="E10" s="75"/>
      <c r="F10" s="54">
        <v>5000</v>
      </c>
      <c r="H10" s="39" t="s">
        <v>1</v>
      </c>
      <c r="I10" s="38"/>
      <c r="J10" s="49"/>
      <c r="K10" s="57"/>
      <c r="L10" s="37" t="s">
        <v>22</v>
      </c>
      <c r="M10" s="57"/>
      <c r="N10" s="57"/>
      <c r="O10" s="57"/>
      <c r="P10" s="49">
        <f>J11</f>
        <v>5000</v>
      </c>
      <c r="R10" s="8"/>
      <c r="S10" s="7"/>
      <c r="T10" s="7" t="s">
        <v>98</v>
      </c>
      <c r="U10" s="7"/>
      <c r="V10" s="7">
        <f>F30</f>
        <v>500</v>
      </c>
      <c r="W10" s="7">
        <f t="shared" si="1"/>
        <v>9200</v>
      </c>
      <c r="Y10" s="8"/>
      <c r="Z10" s="7"/>
      <c r="AA10" s="7"/>
      <c r="AB10" s="7"/>
      <c r="AC10" s="7"/>
      <c r="AD10" s="7">
        <f t="shared" si="2"/>
        <v>2500</v>
      </c>
      <c r="AF10" s="8"/>
      <c r="AG10" s="7"/>
      <c r="AH10" s="7"/>
      <c r="AI10" s="7"/>
      <c r="AJ10" s="7"/>
      <c r="AK10" s="7">
        <f t="shared" si="3"/>
        <v>600</v>
      </c>
      <c r="AM10" s="8"/>
      <c r="AN10" s="7"/>
      <c r="AO10" s="7"/>
      <c r="AP10" s="7"/>
      <c r="AQ10" s="7"/>
      <c r="AR10" s="7">
        <f t="shared" si="4"/>
        <v>5000</v>
      </c>
      <c r="AT10" s="8"/>
      <c r="AU10" s="7"/>
      <c r="AV10" s="7"/>
      <c r="AW10" s="7"/>
      <c r="AX10" s="7"/>
      <c r="AY10" s="7">
        <f t="shared" si="9"/>
        <v>5000</v>
      </c>
      <c r="BA10" s="8"/>
      <c r="BB10" s="7"/>
      <c r="BC10" s="7"/>
      <c r="BD10" s="7"/>
      <c r="BE10" s="7"/>
      <c r="BF10" s="7">
        <f t="shared" si="5"/>
        <v>10000</v>
      </c>
      <c r="BH10" s="8"/>
      <c r="BI10" s="7"/>
      <c r="BJ10" s="7"/>
      <c r="BK10" s="7"/>
      <c r="BL10" s="7"/>
      <c r="BM10" s="7">
        <f t="shared" si="6"/>
        <v>500</v>
      </c>
      <c r="BO10" s="8"/>
      <c r="BP10" s="7"/>
      <c r="BQ10" s="7"/>
      <c r="BR10" s="7"/>
      <c r="BS10" s="7"/>
      <c r="BT10" s="7">
        <f t="shared" si="7"/>
        <v>10000</v>
      </c>
      <c r="BV10" s="8"/>
      <c r="BW10" s="7"/>
      <c r="BX10" s="7"/>
      <c r="BY10" s="7"/>
      <c r="BZ10" s="7"/>
      <c r="CA10" s="7">
        <f t="shared" si="8"/>
        <v>900</v>
      </c>
    </row>
    <row r="11" spans="2:79" x14ac:dyDescent="0.35">
      <c r="B11" s="75"/>
      <c r="C11" s="75" t="s">
        <v>93</v>
      </c>
      <c r="D11" s="15"/>
      <c r="E11" s="75"/>
      <c r="F11" s="16"/>
      <c r="H11" s="37" t="s">
        <v>94</v>
      </c>
      <c r="I11" s="38"/>
      <c r="J11" s="49">
        <f>AY10</f>
        <v>5000</v>
      </c>
      <c r="K11" s="57"/>
      <c r="L11" s="2" t="s">
        <v>110</v>
      </c>
      <c r="M11" s="57"/>
      <c r="N11" s="57"/>
      <c r="O11" s="57"/>
      <c r="P11" s="49">
        <f t="shared" ref="P11:P12" si="10">J12</f>
        <v>1200</v>
      </c>
      <c r="R11" s="8"/>
      <c r="S11" s="7"/>
      <c r="T11" s="7" t="s">
        <v>98</v>
      </c>
      <c r="U11" s="7"/>
      <c r="V11" s="46">
        <f>F34</f>
        <v>4000</v>
      </c>
      <c r="W11" s="7">
        <f t="shared" si="1"/>
        <v>5200</v>
      </c>
    </row>
    <row r="12" spans="2:79" x14ac:dyDescent="0.35">
      <c r="B12" s="75"/>
      <c r="C12" s="75"/>
      <c r="D12" s="15"/>
      <c r="E12" s="75"/>
      <c r="F12" s="16"/>
      <c r="H12" s="2" t="s">
        <v>110</v>
      </c>
      <c r="I12" s="15"/>
      <c r="J12" s="53">
        <f>AY28</f>
        <v>1200</v>
      </c>
      <c r="K12" s="58"/>
      <c r="L12" s="37" t="s">
        <v>22</v>
      </c>
      <c r="M12" s="58"/>
      <c r="N12" s="58"/>
      <c r="O12" s="58"/>
      <c r="P12" s="49">
        <f t="shared" si="10"/>
        <v>2500</v>
      </c>
      <c r="R12" s="8"/>
      <c r="S12" s="7"/>
      <c r="T12" s="7" t="s">
        <v>98</v>
      </c>
      <c r="U12" s="46">
        <f>E37</f>
        <v>10000</v>
      </c>
      <c r="V12" s="7"/>
      <c r="W12" s="7">
        <f t="shared" si="1"/>
        <v>15200</v>
      </c>
      <c r="AT12" s="118" t="s">
        <v>108</v>
      </c>
      <c r="AU12" s="119"/>
      <c r="AV12" s="119"/>
      <c r="AW12" s="119"/>
      <c r="AX12" s="119"/>
      <c r="AY12" s="120"/>
      <c r="BV12" s="118" t="s">
        <v>59</v>
      </c>
      <c r="BW12" s="119"/>
      <c r="BX12" s="119"/>
      <c r="BY12" s="119"/>
      <c r="BZ12" s="119"/>
      <c r="CA12" s="120"/>
    </row>
    <row r="13" spans="2:79" ht="18.5" x14ac:dyDescent="0.45">
      <c r="B13" s="75">
        <v>2</v>
      </c>
      <c r="C13" s="75" t="s">
        <v>6</v>
      </c>
      <c r="D13" s="15">
        <v>101</v>
      </c>
      <c r="E13" s="96">
        <v>1200</v>
      </c>
      <c r="F13" s="16"/>
      <c r="H13" s="37" t="s">
        <v>22</v>
      </c>
      <c r="I13" s="15"/>
      <c r="J13" s="49">
        <f>AY19</f>
        <v>2500</v>
      </c>
      <c r="K13" s="57"/>
      <c r="L13" s="37" t="s">
        <v>32</v>
      </c>
      <c r="M13" s="57"/>
      <c r="N13" s="57"/>
      <c r="O13" s="57"/>
      <c r="P13" s="49">
        <f>J16</f>
        <v>10000</v>
      </c>
      <c r="R13" s="40"/>
      <c r="S13" s="7"/>
      <c r="T13" s="7" t="s">
        <v>98</v>
      </c>
      <c r="U13" s="7"/>
      <c r="W13" s="7">
        <f t="shared" si="1"/>
        <v>15200</v>
      </c>
      <c r="AT13" s="33"/>
      <c r="AU13" s="34"/>
      <c r="AV13" s="34"/>
      <c r="AW13" s="34"/>
      <c r="AX13" s="44" t="s">
        <v>89</v>
      </c>
      <c r="AY13" s="45">
        <v>201</v>
      </c>
      <c r="BV13" s="33"/>
      <c r="BW13" s="34"/>
      <c r="BX13" s="34"/>
      <c r="BY13" s="34"/>
      <c r="BZ13" s="44" t="s">
        <v>89</v>
      </c>
      <c r="CA13" s="45">
        <v>726</v>
      </c>
    </row>
    <row r="14" spans="2:79" x14ac:dyDescent="0.35">
      <c r="B14" s="75"/>
      <c r="C14" s="75" t="s">
        <v>95</v>
      </c>
      <c r="D14" s="15">
        <v>209</v>
      </c>
      <c r="E14" s="75"/>
      <c r="F14" s="54">
        <v>1200</v>
      </c>
      <c r="H14" s="37" t="s">
        <v>78</v>
      </c>
      <c r="I14" s="38"/>
      <c r="J14" s="51">
        <f>J11+J12+J13</f>
        <v>8700</v>
      </c>
      <c r="K14" s="60"/>
      <c r="L14" s="37" t="s">
        <v>73</v>
      </c>
      <c r="M14" s="60"/>
      <c r="N14" s="60">
        <f>J17</f>
        <v>500</v>
      </c>
      <c r="O14" s="60"/>
      <c r="P14" s="53"/>
      <c r="R14" s="8"/>
      <c r="S14" s="7"/>
      <c r="T14" s="7"/>
      <c r="U14" s="7"/>
      <c r="V14" s="7"/>
      <c r="W14" s="7">
        <f t="shared" si="1"/>
        <v>15200</v>
      </c>
      <c r="AT14" s="9" t="s">
        <v>62</v>
      </c>
      <c r="AU14" s="9" t="s">
        <v>63</v>
      </c>
      <c r="AV14" s="9" t="s">
        <v>115</v>
      </c>
      <c r="AW14" s="9" t="s">
        <v>70</v>
      </c>
      <c r="AX14" s="9" t="s">
        <v>71</v>
      </c>
      <c r="AY14" s="9" t="s">
        <v>65</v>
      </c>
      <c r="BV14" s="9" t="s">
        <v>62</v>
      </c>
      <c r="BW14" s="9" t="s">
        <v>63</v>
      </c>
      <c r="BX14" s="9" t="s">
        <v>115</v>
      </c>
      <c r="BY14" s="9" t="s">
        <v>66</v>
      </c>
      <c r="BZ14" s="9" t="s">
        <v>67</v>
      </c>
      <c r="CA14" s="9" t="s">
        <v>65</v>
      </c>
    </row>
    <row r="15" spans="2:79" ht="18.5" x14ac:dyDescent="0.45">
      <c r="B15" s="75"/>
      <c r="C15" s="75" t="s">
        <v>96</v>
      </c>
      <c r="D15" s="15"/>
      <c r="E15" s="75"/>
      <c r="F15" s="16"/>
      <c r="H15" s="39" t="s">
        <v>72</v>
      </c>
      <c r="I15" s="38"/>
      <c r="J15" s="49"/>
      <c r="K15" s="57"/>
      <c r="L15" s="37" t="s">
        <v>106</v>
      </c>
      <c r="M15" s="57"/>
      <c r="N15" s="57"/>
      <c r="O15" s="57"/>
      <c r="P15" s="49">
        <f>J18</f>
        <v>10000</v>
      </c>
      <c r="R15" s="8"/>
      <c r="S15" s="7"/>
      <c r="T15" s="7"/>
      <c r="U15" s="7"/>
      <c r="V15" s="7"/>
      <c r="W15" s="7">
        <f t="shared" si="1"/>
        <v>15200</v>
      </c>
      <c r="AT15" s="8">
        <v>45658</v>
      </c>
      <c r="AU15" s="7"/>
      <c r="AV15" s="7" t="s">
        <v>98</v>
      </c>
      <c r="AW15" s="7"/>
      <c r="AX15" s="46">
        <f>F26</f>
        <v>2500</v>
      </c>
      <c r="AY15" s="7">
        <f>AX15</f>
        <v>2500</v>
      </c>
      <c r="BV15" s="8">
        <v>45658</v>
      </c>
      <c r="BW15" s="7"/>
      <c r="BX15" s="7" t="s">
        <v>98</v>
      </c>
      <c r="BY15" s="46">
        <f>E33</f>
        <v>4000</v>
      </c>
      <c r="BZ15" s="7"/>
      <c r="CA15" s="7">
        <f>BY15</f>
        <v>4000</v>
      </c>
    </row>
    <row r="16" spans="2:79" x14ac:dyDescent="0.35">
      <c r="B16" s="75"/>
      <c r="C16" s="75"/>
      <c r="D16" s="15"/>
      <c r="E16" s="75"/>
      <c r="F16" s="16"/>
      <c r="H16" s="37" t="s">
        <v>32</v>
      </c>
      <c r="I16" s="38"/>
      <c r="J16" s="49">
        <f>BF10</f>
        <v>10000</v>
      </c>
      <c r="K16" s="57"/>
      <c r="L16" s="37" t="s">
        <v>82</v>
      </c>
      <c r="M16" s="57"/>
      <c r="N16" s="57">
        <f>J21</f>
        <v>4000</v>
      </c>
      <c r="O16" s="57"/>
      <c r="P16" s="49"/>
      <c r="R16" s="8"/>
      <c r="S16" s="7"/>
      <c r="T16" s="7"/>
      <c r="U16" s="7"/>
      <c r="V16" s="7"/>
      <c r="W16" s="7">
        <f t="shared" si="1"/>
        <v>15200</v>
      </c>
      <c r="AT16" s="8"/>
      <c r="AU16" s="7"/>
      <c r="AV16" s="7"/>
      <c r="AW16" s="7"/>
      <c r="AX16" s="7"/>
      <c r="AY16" s="7">
        <f>+AY15+AX16-AW16</f>
        <v>2500</v>
      </c>
      <c r="BV16" s="8"/>
      <c r="BW16" s="7"/>
      <c r="BX16" s="7"/>
      <c r="BY16" s="7"/>
      <c r="BZ16" s="7"/>
      <c r="CA16" s="7">
        <f>CA15+BY16-BZ16</f>
        <v>4000</v>
      </c>
    </row>
    <row r="17" spans="2:79" x14ac:dyDescent="0.35">
      <c r="B17" s="75">
        <v>3</v>
      </c>
      <c r="C17" s="75" t="s">
        <v>82</v>
      </c>
      <c r="D17" s="15">
        <v>729</v>
      </c>
      <c r="E17" s="75">
        <v>900</v>
      </c>
      <c r="F17" s="16"/>
      <c r="H17" s="37" t="s">
        <v>73</v>
      </c>
      <c r="I17" s="38"/>
      <c r="J17" s="49">
        <f>BM10</f>
        <v>500</v>
      </c>
      <c r="K17" s="57"/>
      <c r="L17" s="2" t="s">
        <v>113</v>
      </c>
      <c r="M17" s="57"/>
      <c r="N17" s="57">
        <f>J20</f>
        <v>900</v>
      </c>
      <c r="O17" s="57"/>
      <c r="P17" s="49"/>
      <c r="AT17" s="8"/>
      <c r="AU17" s="7"/>
      <c r="AV17" s="7"/>
      <c r="AW17" s="7"/>
      <c r="AX17" s="7"/>
      <c r="AY17" s="7">
        <f>+AY16+AX17-AW17</f>
        <v>2500</v>
      </c>
      <c r="BV17" s="8"/>
      <c r="BW17" s="7"/>
      <c r="BX17" s="7"/>
      <c r="BY17" s="7"/>
      <c r="BZ17" s="7"/>
      <c r="CA17" s="7">
        <f t="shared" ref="CA17:CA19" si="11">CA16+BY17-BZ17</f>
        <v>4000</v>
      </c>
    </row>
    <row r="18" spans="2:79" ht="19" thickBot="1" x14ac:dyDescent="0.5">
      <c r="B18" s="75"/>
      <c r="C18" s="75" t="s">
        <v>99</v>
      </c>
      <c r="D18" s="15">
        <v>101</v>
      </c>
      <c r="E18" s="75"/>
      <c r="F18" s="16">
        <v>900</v>
      </c>
      <c r="H18" s="37" t="s">
        <v>106</v>
      </c>
      <c r="I18" s="38"/>
      <c r="J18" s="49">
        <f>+BT10</f>
        <v>10000</v>
      </c>
      <c r="K18" s="57"/>
      <c r="L18" s="64"/>
      <c r="M18" s="57"/>
      <c r="N18" s="61">
        <f>SUM(N6:N17)</f>
        <v>28700</v>
      </c>
      <c r="O18" s="62"/>
      <c r="P18" s="65">
        <f t="shared" ref="P18" si="12">SUM(P6:P17)</f>
        <v>28700</v>
      </c>
      <c r="AT18" s="8"/>
      <c r="AU18" s="7"/>
      <c r="AV18" s="7"/>
      <c r="AW18" s="7"/>
      <c r="AX18" s="7"/>
      <c r="AY18" s="7">
        <f t="shared" ref="AY18:AY19" si="13">+AY17+AX18-AW18</f>
        <v>2500</v>
      </c>
      <c r="BV18" s="8"/>
      <c r="BW18" s="7"/>
      <c r="BX18" s="7"/>
      <c r="BY18" s="7"/>
      <c r="BZ18" s="7"/>
      <c r="CA18" s="7">
        <f t="shared" si="11"/>
        <v>4000</v>
      </c>
    </row>
    <row r="19" spans="2:79" ht="15" thickTop="1" x14ac:dyDescent="0.35">
      <c r="B19" s="75"/>
      <c r="C19" s="75" t="s">
        <v>100</v>
      </c>
      <c r="D19" s="15"/>
      <c r="E19" s="75"/>
      <c r="F19" s="16"/>
      <c r="H19" s="2" t="s">
        <v>134</v>
      </c>
      <c r="I19" s="15"/>
      <c r="J19" s="53"/>
      <c r="K19" s="57"/>
      <c r="L19" s="66"/>
      <c r="M19" s="67"/>
      <c r="N19" s="67"/>
      <c r="O19" s="67"/>
      <c r="P19" s="68"/>
      <c r="AT19" s="8"/>
      <c r="AU19" s="7"/>
      <c r="AV19" s="7"/>
      <c r="AW19" s="7"/>
      <c r="AX19" s="7"/>
      <c r="AY19" s="7">
        <f t="shared" si="13"/>
        <v>2500</v>
      </c>
      <c r="BV19" s="8"/>
      <c r="BW19" s="7"/>
      <c r="BX19" s="7"/>
      <c r="BY19" s="7"/>
      <c r="BZ19" s="7"/>
      <c r="CA19" s="7">
        <f t="shared" si="11"/>
        <v>4000</v>
      </c>
    </row>
    <row r="20" spans="2:79" x14ac:dyDescent="0.35">
      <c r="B20" s="75"/>
      <c r="C20" s="75"/>
      <c r="D20" s="15"/>
      <c r="E20" s="75"/>
      <c r="F20" s="16"/>
      <c r="H20" s="37" t="s">
        <v>82</v>
      </c>
      <c r="I20" s="38"/>
      <c r="J20" s="49">
        <f>CA10</f>
        <v>900</v>
      </c>
      <c r="K20" s="60"/>
      <c r="L20" s="60"/>
      <c r="M20" s="60"/>
      <c r="N20" s="60"/>
      <c r="O20" s="60"/>
      <c r="P20" s="60"/>
    </row>
    <row r="21" spans="2:79" ht="18.5" x14ac:dyDescent="0.45">
      <c r="B21" s="75">
        <v>4</v>
      </c>
      <c r="C21" s="75" t="s">
        <v>101</v>
      </c>
      <c r="D21" s="15">
        <v>130</v>
      </c>
      <c r="E21" s="75">
        <v>600</v>
      </c>
      <c r="F21" s="16"/>
      <c r="H21" s="2" t="s">
        <v>113</v>
      </c>
      <c r="I21" s="15"/>
      <c r="J21" s="53">
        <f>CA19</f>
        <v>4000</v>
      </c>
      <c r="K21" s="59"/>
      <c r="L21" s="59"/>
      <c r="M21" s="59"/>
      <c r="N21" s="59"/>
      <c r="O21" s="59"/>
      <c r="P21" s="59"/>
      <c r="AT21" s="118" t="s">
        <v>23</v>
      </c>
      <c r="AU21" s="119"/>
      <c r="AV21" s="119"/>
      <c r="AW21" s="119"/>
      <c r="AX21" s="119"/>
      <c r="AY21" s="120"/>
    </row>
    <row r="22" spans="2:79" ht="18.5" x14ac:dyDescent="0.45">
      <c r="B22" s="75"/>
      <c r="C22" s="75" t="s">
        <v>99</v>
      </c>
      <c r="D22" s="15">
        <v>101</v>
      </c>
      <c r="E22" s="75"/>
      <c r="F22" s="16">
        <v>600</v>
      </c>
      <c r="H22" s="77" t="s">
        <v>135</v>
      </c>
      <c r="I22" s="15"/>
      <c r="J22" s="78">
        <f>J20+J21</f>
        <v>4900</v>
      </c>
      <c r="AT22" s="33"/>
      <c r="AU22" s="34"/>
      <c r="AV22" s="34"/>
      <c r="AW22" s="34"/>
      <c r="AX22" s="44" t="s">
        <v>89</v>
      </c>
      <c r="AY22" s="45">
        <v>209</v>
      </c>
    </row>
    <row r="23" spans="2:79" x14ac:dyDescent="0.35">
      <c r="B23" s="75"/>
      <c r="C23" s="75" t="s">
        <v>102</v>
      </c>
      <c r="D23" s="15"/>
      <c r="E23" s="75"/>
      <c r="F23" s="16"/>
      <c r="H23" s="37" t="s">
        <v>79</v>
      </c>
      <c r="I23" s="38"/>
      <c r="J23" s="51">
        <f>J16-J17+J18-J22</f>
        <v>14600</v>
      </c>
      <c r="AT23" s="9" t="s">
        <v>62</v>
      </c>
      <c r="AU23" s="9" t="s">
        <v>63</v>
      </c>
      <c r="AV23" s="9" t="s">
        <v>115</v>
      </c>
      <c r="AW23" s="9" t="s">
        <v>70</v>
      </c>
      <c r="AX23" s="9" t="s">
        <v>71</v>
      </c>
      <c r="AY23" s="9" t="s">
        <v>65</v>
      </c>
    </row>
    <row r="24" spans="2:79" ht="18.5" x14ac:dyDescent="0.45">
      <c r="B24" s="75"/>
      <c r="C24" s="75"/>
      <c r="D24" s="15"/>
      <c r="E24" s="75"/>
      <c r="F24" s="16"/>
      <c r="H24" s="3" t="s">
        <v>77</v>
      </c>
      <c r="I24" s="20"/>
      <c r="J24" s="52">
        <f>J14+J23</f>
        <v>23300</v>
      </c>
      <c r="AT24" s="8">
        <v>45658</v>
      </c>
      <c r="AU24" s="7"/>
      <c r="AV24" s="7" t="s">
        <v>98</v>
      </c>
      <c r="AW24" s="7"/>
      <c r="AX24" s="46">
        <f>F14</f>
        <v>1200</v>
      </c>
      <c r="AY24" s="7">
        <f>AX24</f>
        <v>1200</v>
      </c>
    </row>
    <row r="25" spans="2:79" x14ac:dyDescent="0.35">
      <c r="B25" s="75">
        <v>5</v>
      </c>
      <c r="C25" s="75" t="s">
        <v>11</v>
      </c>
      <c r="D25" s="15">
        <v>126</v>
      </c>
      <c r="E25" s="96">
        <v>2500</v>
      </c>
      <c r="F25" s="16"/>
      <c r="AT25" s="8"/>
      <c r="AU25" s="7"/>
      <c r="AV25" s="7"/>
      <c r="AW25" s="7"/>
      <c r="AX25" s="7"/>
      <c r="AY25" s="7">
        <f>+AY24+AX25-AW25</f>
        <v>1200</v>
      </c>
    </row>
    <row r="26" spans="2:79" x14ac:dyDescent="0.35">
      <c r="B26" s="75"/>
      <c r="C26" s="75" t="s">
        <v>103</v>
      </c>
      <c r="D26" s="15">
        <v>101</v>
      </c>
      <c r="E26" s="75"/>
      <c r="F26" s="54">
        <v>2500</v>
      </c>
      <c r="AT26" s="8"/>
      <c r="AU26" s="7"/>
      <c r="AV26" s="7"/>
      <c r="AW26" s="7"/>
      <c r="AX26" s="7"/>
      <c r="AY26" s="7">
        <f>+AY25+AX26-AW26</f>
        <v>1200</v>
      </c>
    </row>
    <row r="27" spans="2:79" x14ac:dyDescent="0.35">
      <c r="B27" s="75"/>
      <c r="C27" s="75" t="s">
        <v>102</v>
      </c>
      <c r="D27" s="15"/>
      <c r="E27" s="75"/>
      <c r="F27" s="16"/>
      <c r="AT27" s="8"/>
      <c r="AU27" s="7"/>
      <c r="AV27" s="7"/>
      <c r="AW27" s="7"/>
      <c r="AX27" s="7"/>
      <c r="AY27" s="7">
        <f t="shared" ref="AY27:AY28" si="14">+AY26+AX27-AW27</f>
        <v>1200</v>
      </c>
    </row>
    <row r="28" spans="2:79" x14ac:dyDescent="0.35">
      <c r="B28" s="75"/>
      <c r="C28" s="75"/>
      <c r="D28" s="15"/>
      <c r="E28" s="75"/>
      <c r="F28" s="16"/>
      <c r="AT28" s="8"/>
      <c r="AU28" s="7"/>
      <c r="AV28" s="7"/>
      <c r="AW28" s="7"/>
      <c r="AX28" s="7"/>
      <c r="AY28" s="7">
        <f t="shared" si="14"/>
        <v>1200</v>
      </c>
    </row>
    <row r="29" spans="2:79" x14ac:dyDescent="0.35">
      <c r="B29" s="75">
        <v>20</v>
      </c>
      <c r="C29" s="75" t="s">
        <v>73</v>
      </c>
      <c r="D29" s="15">
        <v>306</v>
      </c>
      <c r="E29" s="75">
        <v>500</v>
      </c>
      <c r="F29" s="16"/>
    </row>
    <row r="30" spans="2:79" x14ac:dyDescent="0.35">
      <c r="B30" s="75"/>
      <c r="C30" s="75" t="s">
        <v>99</v>
      </c>
      <c r="D30" s="15">
        <v>101</v>
      </c>
      <c r="E30" s="75"/>
      <c r="F30" s="16">
        <v>500</v>
      </c>
    </row>
    <row r="31" spans="2:79" x14ac:dyDescent="0.35">
      <c r="B31" s="75"/>
      <c r="C31" s="75" t="s">
        <v>104</v>
      </c>
      <c r="D31" s="15"/>
      <c r="E31" s="75"/>
      <c r="F31" s="16"/>
    </row>
    <row r="32" spans="2:79" x14ac:dyDescent="0.35">
      <c r="B32" s="75"/>
      <c r="C32" s="75"/>
      <c r="D32" s="15"/>
      <c r="E32" s="75"/>
      <c r="F32" s="16"/>
    </row>
    <row r="33" spans="2:6" x14ac:dyDescent="0.35">
      <c r="B33" s="75">
        <v>26</v>
      </c>
      <c r="C33" s="75" t="s">
        <v>59</v>
      </c>
      <c r="D33" s="15">
        <v>726</v>
      </c>
      <c r="E33" s="96">
        <v>4000</v>
      </c>
      <c r="F33" s="16"/>
    </row>
    <row r="34" spans="2:6" x14ac:dyDescent="0.35">
      <c r="B34" s="75"/>
      <c r="C34" s="75" t="s">
        <v>99</v>
      </c>
      <c r="D34" s="15">
        <v>101</v>
      </c>
      <c r="E34" s="75"/>
      <c r="F34" s="54">
        <v>4000</v>
      </c>
    </row>
    <row r="35" spans="2:6" x14ac:dyDescent="0.35">
      <c r="B35" s="75"/>
      <c r="C35" s="75" t="s">
        <v>105</v>
      </c>
      <c r="D35" s="15"/>
      <c r="E35" s="75"/>
      <c r="F35" s="16"/>
    </row>
    <row r="36" spans="2:6" x14ac:dyDescent="0.35">
      <c r="B36" s="75"/>
      <c r="C36" s="75"/>
      <c r="D36" s="15"/>
      <c r="E36" s="75"/>
      <c r="F36" s="16"/>
    </row>
    <row r="37" spans="2:6" x14ac:dyDescent="0.35">
      <c r="B37" s="75">
        <v>31</v>
      </c>
      <c r="C37" s="75" t="s">
        <v>6</v>
      </c>
      <c r="D37" s="15">
        <v>101</v>
      </c>
      <c r="E37" s="96">
        <v>10000</v>
      </c>
      <c r="F37" s="16"/>
    </row>
    <row r="38" spans="2:6" x14ac:dyDescent="0.35">
      <c r="B38" s="75"/>
      <c r="C38" s="75" t="s">
        <v>107</v>
      </c>
      <c r="D38" s="15">
        <v>400</v>
      </c>
      <c r="E38" s="75"/>
      <c r="F38" s="54">
        <v>10000</v>
      </c>
    </row>
    <row r="39" spans="2:6" x14ac:dyDescent="0.35">
      <c r="B39" s="75"/>
      <c r="C39" s="75" t="s">
        <v>105</v>
      </c>
      <c r="D39" s="15"/>
      <c r="E39" s="75"/>
      <c r="F39" s="16"/>
    </row>
    <row r="40" spans="2:6" x14ac:dyDescent="0.35">
      <c r="B40" s="76"/>
      <c r="C40" s="76"/>
      <c r="D40" s="20"/>
      <c r="E40" s="76"/>
      <c r="F40" s="55"/>
    </row>
  </sheetData>
  <mergeCells count="15">
    <mergeCell ref="BV12:CA12"/>
    <mergeCell ref="BA3:BF3"/>
    <mergeCell ref="BH3:BM3"/>
    <mergeCell ref="BO3:BT3"/>
    <mergeCell ref="BV3:CA3"/>
    <mergeCell ref="B3:D3"/>
    <mergeCell ref="AT12:AY12"/>
    <mergeCell ref="AF3:AK3"/>
    <mergeCell ref="AT21:AY21"/>
    <mergeCell ref="AT3:AY3"/>
    <mergeCell ref="L3:P3"/>
    <mergeCell ref="L4:P4"/>
    <mergeCell ref="R3:W3"/>
    <mergeCell ref="Y3:AD3"/>
    <mergeCell ref="AM3:AR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G84"/>
  <sheetViews>
    <sheetView zoomScale="83" zoomScaleNormal="83" workbookViewId="0">
      <selection activeCell="K29" sqref="K29"/>
    </sheetView>
  </sheetViews>
  <sheetFormatPr defaultColWidth="9.1796875" defaultRowHeight="14.5" x14ac:dyDescent="0.35"/>
  <cols>
    <col min="1" max="1" width="5.26953125" style="1" customWidth="1"/>
    <col min="2" max="2" width="9.1796875" style="1"/>
    <col min="3" max="3" width="50.54296875" style="1" bestFit="1" customWidth="1"/>
    <col min="4" max="4" width="5" style="1" bestFit="1" customWidth="1"/>
    <col min="5" max="6" width="7" style="1" bestFit="1" customWidth="1"/>
    <col min="7" max="7" width="3.54296875" style="1" customWidth="1"/>
    <col min="8" max="8" width="44.81640625" style="1" bestFit="1" customWidth="1"/>
    <col min="9" max="9" width="16.1796875" style="1" bestFit="1" customWidth="1"/>
    <col min="10" max="10" width="3.54296875" style="1" customWidth="1"/>
    <col min="11" max="11" width="15.54296875" style="1" bestFit="1" customWidth="1"/>
    <col min="12" max="12" width="43.26953125" style="1" bestFit="1" customWidth="1"/>
    <col min="13" max="13" width="16" style="1" bestFit="1" customWidth="1"/>
    <col min="14" max="14" width="2.7265625" style="1" customWidth="1"/>
    <col min="15" max="15" width="16.1796875" style="1" bestFit="1" customWidth="1"/>
    <col min="16" max="16" width="3.54296875" style="1" customWidth="1"/>
    <col min="17" max="23" width="9.1796875" style="1"/>
    <col min="24" max="24" width="10.453125" style="1" bestFit="1" customWidth="1"/>
    <col min="25" max="29" width="9.1796875" style="1"/>
    <col min="30" max="30" width="3.1796875" style="1" customWidth="1"/>
    <col min="31" max="31" width="12.54296875" style="1" bestFit="1" customWidth="1"/>
    <col min="32" max="36" width="9.1796875" style="1"/>
    <col min="37" max="37" width="2.7265625" style="1" customWidth="1"/>
    <col min="38" max="38" width="10.453125" style="1" bestFit="1" customWidth="1"/>
    <col min="39" max="43" width="9.1796875" style="1"/>
    <col min="44" max="44" width="2.54296875" style="1" customWidth="1"/>
    <col min="45" max="45" width="10.453125" style="1" bestFit="1" customWidth="1"/>
    <col min="46" max="50" width="9.1796875" style="1"/>
    <col min="51" max="51" width="2.81640625" style="1" customWidth="1"/>
    <col min="52" max="52" width="10.453125" style="1" bestFit="1" customWidth="1"/>
    <col min="53" max="57" width="9.1796875" style="1"/>
    <col min="58" max="58" width="2.54296875" style="1" customWidth="1"/>
    <col min="59" max="63" width="9.1796875" style="1"/>
    <col min="64" max="64" width="7.81640625" style="1" bestFit="1" customWidth="1"/>
    <col min="65" max="65" width="3" style="1" customWidth="1"/>
    <col min="66" max="71" width="9.1796875" style="1"/>
    <col min="72" max="72" width="2.453125" style="1" customWidth="1"/>
    <col min="73" max="78" width="9.1796875" style="1"/>
    <col min="79" max="79" width="2.26953125" style="1" customWidth="1"/>
    <col min="80" max="16384" width="9.1796875" style="1"/>
  </cols>
  <sheetData>
    <row r="2" spans="2:85" ht="24" thickBot="1" x14ac:dyDescent="0.6">
      <c r="Q2" s="138" t="s">
        <v>0</v>
      </c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94" t="s">
        <v>69</v>
      </c>
      <c r="AZ2" s="138" t="s">
        <v>1</v>
      </c>
      <c r="BA2" s="138"/>
      <c r="BB2" s="138"/>
      <c r="BC2" s="138"/>
      <c r="BD2" s="138"/>
      <c r="BE2" s="138"/>
      <c r="BF2" s="11" t="s">
        <v>68</v>
      </c>
      <c r="BG2" s="138" t="s">
        <v>72</v>
      </c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</row>
    <row r="4" spans="2:85" ht="19" thickBot="1" x14ac:dyDescent="0.5">
      <c r="B4" s="136" t="s">
        <v>87</v>
      </c>
      <c r="C4" s="137"/>
      <c r="D4" s="137"/>
      <c r="E4" s="72" t="s">
        <v>97</v>
      </c>
      <c r="F4" s="73" t="s">
        <v>122</v>
      </c>
      <c r="H4" s="35" t="s">
        <v>0</v>
      </c>
      <c r="I4" s="42"/>
      <c r="J4" s="56"/>
      <c r="K4" s="127" t="s">
        <v>111</v>
      </c>
      <c r="L4" s="128"/>
      <c r="M4" s="128"/>
      <c r="N4" s="128"/>
      <c r="O4" s="129"/>
      <c r="Q4" s="118" t="s">
        <v>6</v>
      </c>
      <c r="R4" s="119"/>
      <c r="S4" s="119"/>
      <c r="T4" s="119"/>
      <c r="U4" s="119"/>
      <c r="V4" s="120"/>
      <c r="W4" s="91"/>
      <c r="X4" s="118" t="s">
        <v>11</v>
      </c>
      <c r="Y4" s="119"/>
      <c r="Z4" s="119"/>
      <c r="AA4" s="119"/>
      <c r="AB4" s="119"/>
      <c r="AC4" s="120"/>
      <c r="AE4" s="118" t="s">
        <v>11</v>
      </c>
      <c r="AF4" s="119"/>
      <c r="AG4" s="119"/>
      <c r="AH4" s="119"/>
      <c r="AI4" s="119"/>
      <c r="AJ4" s="120"/>
      <c r="AL4" s="118" t="s">
        <v>101</v>
      </c>
      <c r="AM4" s="119"/>
      <c r="AN4" s="119"/>
      <c r="AO4" s="119"/>
      <c r="AP4" s="119"/>
      <c r="AQ4" s="120"/>
      <c r="AS4" s="118" t="s">
        <v>14</v>
      </c>
      <c r="AT4" s="119"/>
      <c r="AU4" s="119"/>
      <c r="AV4" s="119"/>
      <c r="AW4" s="119"/>
      <c r="AX4" s="120"/>
      <c r="AZ4" s="118" t="s">
        <v>94</v>
      </c>
      <c r="BA4" s="119"/>
      <c r="BB4" s="119"/>
      <c r="BC4" s="119"/>
      <c r="BD4" s="119"/>
      <c r="BE4" s="120"/>
      <c r="BG4" s="118" t="s">
        <v>32</v>
      </c>
      <c r="BH4" s="119"/>
      <c r="BI4" s="119"/>
      <c r="BJ4" s="119"/>
      <c r="BK4" s="119"/>
      <c r="BL4" s="120"/>
      <c r="BM4" s="11" t="s">
        <v>116</v>
      </c>
      <c r="BN4" s="118" t="s">
        <v>73</v>
      </c>
      <c r="BO4" s="119"/>
      <c r="BP4" s="119"/>
      <c r="BQ4" s="119"/>
      <c r="BR4" s="119"/>
      <c r="BS4" s="120"/>
      <c r="BT4" s="11" t="s">
        <v>69</v>
      </c>
      <c r="BU4" s="118" t="s">
        <v>106</v>
      </c>
      <c r="BV4" s="119"/>
      <c r="BW4" s="119"/>
      <c r="BX4" s="119"/>
      <c r="BY4" s="119"/>
      <c r="BZ4" s="120"/>
      <c r="CA4" s="11" t="s">
        <v>116</v>
      </c>
      <c r="CB4" s="118" t="s">
        <v>82</v>
      </c>
      <c r="CC4" s="119"/>
      <c r="CD4" s="119"/>
      <c r="CE4" s="119"/>
      <c r="CF4" s="119"/>
      <c r="CG4" s="120"/>
    </row>
    <row r="5" spans="2:85" ht="18.5" x14ac:dyDescent="0.45">
      <c r="B5" s="43" t="s">
        <v>62</v>
      </c>
      <c r="C5" s="43" t="s">
        <v>86</v>
      </c>
      <c r="D5" s="43" t="s">
        <v>64</v>
      </c>
      <c r="E5" s="43" t="s">
        <v>84</v>
      </c>
      <c r="F5" s="43" t="s">
        <v>85</v>
      </c>
      <c r="H5" s="37" t="s">
        <v>6</v>
      </c>
      <c r="I5" s="49">
        <f>M7</f>
        <v>15200</v>
      </c>
      <c r="J5" s="57"/>
      <c r="K5" s="130" t="s">
        <v>114</v>
      </c>
      <c r="L5" s="131"/>
      <c r="M5" s="131"/>
      <c r="N5" s="131"/>
      <c r="O5" s="132"/>
      <c r="Q5" s="88"/>
      <c r="R5" s="89"/>
      <c r="S5" s="89"/>
      <c r="T5" s="89"/>
      <c r="U5" s="44" t="s">
        <v>89</v>
      </c>
      <c r="V5" s="45">
        <v>101</v>
      </c>
      <c r="W5" s="92"/>
      <c r="X5" s="114"/>
      <c r="Y5" s="115"/>
      <c r="Z5" s="115"/>
      <c r="AA5" s="115"/>
      <c r="AB5" s="44" t="s">
        <v>89</v>
      </c>
      <c r="AC5" s="45">
        <v>126</v>
      </c>
      <c r="AE5" s="88"/>
      <c r="AF5" s="89"/>
      <c r="AG5" s="89"/>
      <c r="AH5" s="89"/>
      <c r="AI5" s="44" t="s">
        <v>89</v>
      </c>
      <c r="AJ5" s="45">
        <v>126</v>
      </c>
      <c r="AL5" s="88"/>
      <c r="AM5" s="89"/>
      <c r="AN5" s="89"/>
      <c r="AO5" s="89"/>
      <c r="AP5" s="44" t="s">
        <v>89</v>
      </c>
      <c r="AQ5" s="45">
        <v>130</v>
      </c>
      <c r="AS5" s="88"/>
      <c r="AT5" s="89"/>
      <c r="AU5" s="89"/>
      <c r="AV5" s="89"/>
      <c r="AW5" s="44" t="s">
        <v>89</v>
      </c>
      <c r="AX5" s="45">
        <v>157</v>
      </c>
      <c r="AZ5" s="88"/>
      <c r="BA5" s="89"/>
      <c r="BB5" s="89"/>
      <c r="BC5" s="89"/>
      <c r="BD5" s="44" t="s">
        <v>89</v>
      </c>
      <c r="BE5" s="45">
        <v>200</v>
      </c>
      <c r="BG5" s="88"/>
      <c r="BH5" s="89"/>
      <c r="BI5" s="89"/>
      <c r="BJ5" s="89"/>
      <c r="BK5" s="44" t="s">
        <v>89</v>
      </c>
      <c r="BL5" s="45">
        <v>301</v>
      </c>
      <c r="BN5" s="88"/>
      <c r="BO5" s="89"/>
      <c r="BP5" s="89"/>
      <c r="BQ5" s="89"/>
      <c r="BR5" s="44" t="s">
        <v>89</v>
      </c>
      <c r="BS5" s="45">
        <v>306</v>
      </c>
      <c r="BU5" s="88"/>
      <c r="BV5" s="89"/>
      <c r="BW5" s="89"/>
      <c r="BX5" s="89"/>
      <c r="BY5" s="44" t="s">
        <v>89</v>
      </c>
      <c r="BZ5" s="45">
        <v>400</v>
      </c>
      <c r="CB5" s="88"/>
      <c r="CC5" s="89"/>
      <c r="CD5" s="89"/>
      <c r="CE5" s="89"/>
      <c r="CF5" s="44" t="s">
        <v>89</v>
      </c>
      <c r="CG5" s="45">
        <v>729</v>
      </c>
    </row>
    <row r="6" spans="2:85" ht="15.5" x14ac:dyDescent="0.35">
      <c r="B6" s="74" t="s">
        <v>120</v>
      </c>
      <c r="C6" s="93" t="s">
        <v>117</v>
      </c>
      <c r="D6" s="74"/>
      <c r="E6" s="74"/>
      <c r="F6" s="74"/>
      <c r="H6" s="2" t="s">
        <v>162</v>
      </c>
      <c r="I6" s="16">
        <f>M8</f>
        <v>200</v>
      </c>
      <c r="J6" s="58"/>
      <c r="K6" s="63"/>
      <c r="L6" s="63"/>
      <c r="M6" s="70" t="s">
        <v>112</v>
      </c>
      <c r="N6" s="70"/>
      <c r="O6" s="101" t="s">
        <v>85</v>
      </c>
      <c r="Q6" s="9" t="s">
        <v>62</v>
      </c>
      <c r="R6" s="9" t="s">
        <v>63</v>
      </c>
      <c r="S6" s="9" t="s">
        <v>115</v>
      </c>
      <c r="T6" s="9" t="s">
        <v>66</v>
      </c>
      <c r="U6" s="9" t="s">
        <v>67</v>
      </c>
      <c r="V6" s="9" t="s">
        <v>65</v>
      </c>
      <c r="W6" s="90"/>
      <c r="X6" s="9" t="s">
        <v>62</v>
      </c>
      <c r="Y6" s="9" t="s">
        <v>63</v>
      </c>
      <c r="Z6" s="9" t="s">
        <v>115</v>
      </c>
      <c r="AA6" s="9" t="s">
        <v>66</v>
      </c>
      <c r="AB6" s="9" t="s">
        <v>67</v>
      </c>
      <c r="AC6" s="9" t="s">
        <v>65</v>
      </c>
      <c r="AE6" s="9" t="s">
        <v>62</v>
      </c>
      <c r="AF6" s="9" t="s">
        <v>63</v>
      </c>
      <c r="AG6" s="9" t="s">
        <v>115</v>
      </c>
      <c r="AH6" s="9" t="s">
        <v>66</v>
      </c>
      <c r="AI6" s="9" t="s">
        <v>67</v>
      </c>
      <c r="AJ6" s="9" t="s">
        <v>65</v>
      </c>
      <c r="AL6" s="9" t="s">
        <v>62</v>
      </c>
      <c r="AM6" s="9" t="s">
        <v>63</v>
      </c>
      <c r="AN6" s="9" t="s">
        <v>115</v>
      </c>
      <c r="AO6" s="9" t="s">
        <v>66</v>
      </c>
      <c r="AP6" s="9" t="s">
        <v>67</v>
      </c>
      <c r="AQ6" s="9" t="s">
        <v>65</v>
      </c>
      <c r="AS6" s="9" t="s">
        <v>62</v>
      </c>
      <c r="AT6" s="9" t="s">
        <v>63</v>
      </c>
      <c r="AU6" s="9" t="s">
        <v>115</v>
      </c>
      <c r="AV6" s="9" t="s">
        <v>66</v>
      </c>
      <c r="AW6" s="9" t="s">
        <v>67</v>
      </c>
      <c r="AX6" s="9" t="s">
        <v>65</v>
      </c>
      <c r="AZ6" s="9" t="s">
        <v>62</v>
      </c>
      <c r="BA6" s="9" t="s">
        <v>63</v>
      </c>
      <c r="BB6" s="9" t="s">
        <v>115</v>
      </c>
      <c r="BC6" s="9" t="s">
        <v>70</v>
      </c>
      <c r="BD6" s="9" t="s">
        <v>71</v>
      </c>
      <c r="BE6" s="9" t="s">
        <v>65</v>
      </c>
      <c r="BG6" s="9" t="s">
        <v>62</v>
      </c>
      <c r="BH6" s="9" t="s">
        <v>63</v>
      </c>
      <c r="BI6" s="9" t="s">
        <v>115</v>
      </c>
      <c r="BJ6" s="9" t="s">
        <v>70</v>
      </c>
      <c r="BK6" s="9" t="s">
        <v>71</v>
      </c>
      <c r="BL6" s="9" t="s">
        <v>65</v>
      </c>
      <c r="BN6" s="9" t="s">
        <v>62</v>
      </c>
      <c r="BO6" s="9" t="s">
        <v>63</v>
      </c>
      <c r="BP6" s="9" t="s">
        <v>115</v>
      </c>
      <c r="BQ6" s="9" t="s">
        <v>66</v>
      </c>
      <c r="BR6" s="9" t="s">
        <v>67</v>
      </c>
      <c r="BS6" s="9" t="s">
        <v>65</v>
      </c>
      <c r="BU6" s="9" t="s">
        <v>62</v>
      </c>
      <c r="BV6" s="9" t="s">
        <v>63</v>
      </c>
      <c r="BW6" s="9" t="s">
        <v>115</v>
      </c>
      <c r="BX6" s="9" t="s">
        <v>70</v>
      </c>
      <c r="BY6" s="9" t="s">
        <v>71</v>
      </c>
      <c r="BZ6" s="9" t="s">
        <v>65</v>
      </c>
      <c r="CB6" s="9" t="s">
        <v>62</v>
      </c>
      <c r="CC6" s="9" t="s">
        <v>63</v>
      </c>
      <c r="CD6" s="9" t="s">
        <v>115</v>
      </c>
      <c r="CE6" s="9" t="s">
        <v>66</v>
      </c>
      <c r="CF6" s="9" t="s">
        <v>67</v>
      </c>
      <c r="CG6" s="9" t="s">
        <v>65</v>
      </c>
    </row>
    <row r="7" spans="2:85" x14ac:dyDescent="0.35">
      <c r="B7" s="75"/>
      <c r="C7" s="75" t="s">
        <v>118</v>
      </c>
      <c r="D7" s="75">
        <v>631</v>
      </c>
      <c r="E7" s="75">
        <v>1500</v>
      </c>
      <c r="F7" s="75"/>
      <c r="H7" s="2" t="s">
        <v>109</v>
      </c>
      <c r="I7" s="53">
        <f>M9</f>
        <v>1000</v>
      </c>
      <c r="J7" s="57"/>
      <c r="K7" s="108" t="s">
        <v>0</v>
      </c>
      <c r="L7" s="103" t="s">
        <v>6</v>
      </c>
      <c r="M7" s="102">
        <f>V17</f>
        <v>15200</v>
      </c>
      <c r="N7" s="133"/>
      <c r="O7" s="102"/>
      <c r="Q7" s="8">
        <v>45658</v>
      </c>
      <c r="R7" s="7"/>
      <c r="S7" s="7" t="s">
        <v>98</v>
      </c>
      <c r="T7" s="46">
        <f>E49</f>
        <v>10000</v>
      </c>
      <c r="U7" s="7"/>
      <c r="V7" s="7">
        <f>T7</f>
        <v>10000</v>
      </c>
      <c r="W7" s="15"/>
      <c r="X7" s="8">
        <v>45658</v>
      </c>
      <c r="Y7" s="80"/>
      <c r="Z7" s="80"/>
      <c r="AA7" s="46">
        <f>E23</f>
        <v>200</v>
      </c>
      <c r="AB7" s="46"/>
      <c r="AC7" s="7">
        <f>AA7</f>
        <v>200</v>
      </c>
      <c r="AE7" s="8">
        <v>45658</v>
      </c>
      <c r="AF7" s="80"/>
      <c r="AG7" s="80"/>
      <c r="AH7" s="46">
        <f>E69</f>
        <v>2500</v>
      </c>
      <c r="AI7" s="46"/>
      <c r="AJ7" s="7">
        <f>AH7</f>
        <v>2500</v>
      </c>
      <c r="AL7" s="8">
        <v>45658</v>
      </c>
      <c r="AM7" s="7"/>
      <c r="AN7" s="7" t="s">
        <v>98</v>
      </c>
      <c r="AO7" s="46">
        <f>E65</f>
        <v>600</v>
      </c>
      <c r="AP7" s="7"/>
      <c r="AQ7" s="7">
        <f>AO7</f>
        <v>600</v>
      </c>
      <c r="AS7" s="8">
        <v>45658</v>
      </c>
      <c r="AT7" s="7"/>
      <c r="AU7" s="7" t="s">
        <v>98</v>
      </c>
      <c r="AV7" s="46">
        <f>E53</f>
        <v>5000</v>
      </c>
      <c r="AW7" s="7"/>
      <c r="AX7" s="7">
        <f>AV7</f>
        <v>5000</v>
      </c>
      <c r="AZ7" s="8">
        <v>45658</v>
      </c>
      <c r="BA7" s="7"/>
      <c r="BB7" s="7" t="s">
        <v>98</v>
      </c>
      <c r="BC7" s="7"/>
      <c r="BD7" s="46">
        <f>E53</f>
        <v>5000</v>
      </c>
      <c r="BE7" s="7">
        <f>BD7</f>
        <v>5000</v>
      </c>
      <c r="BG7" s="8">
        <v>45658</v>
      </c>
      <c r="BH7" s="7"/>
      <c r="BI7" s="7" t="s">
        <v>98</v>
      </c>
      <c r="BJ7" s="7"/>
      <c r="BK7" s="46">
        <f>F50</f>
        <v>10000</v>
      </c>
      <c r="BL7" s="7">
        <f>BK7</f>
        <v>10000</v>
      </c>
      <c r="BN7" s="8">
        <v>45658</v>
      </c>
      <c r="BO7" s="7"/>
      <c r="BP7" s="7" t="s">
        <v>98</v>
      </c>
      <c r="BQ7" s="7">
        <f>E73</f>
        <v>500</v>
      </c>
      <c r="BR7" s="7"/>
      <c r="BS7" s="7">
        <f>BQ7</f>
        <v>500</v>
      </c>
      <c r="BU7" s="8">
        <v>45658</v>
      </c>
      <c r="BV7" s="7"/>
      <c r="BW7" s="7" t="s">
        <v>98</v>
      </c>
      <c r="BX7" s="7"/>
      <c r="BY7" s="46">
        <f>F82</f>
        <v>10000</v>
      </c>
      <c r="BZ7" s="7">
        <f>BY7</f>
        <v>10000</v>
      </c>
      <c r="CB7" s="8">
        <v>45658</v>
      </c>
      <c r="CC7" s="7"/>
      <c r="CD7" s="7" t="s">
        <v>98</v>
      </c>
      <c r="CE7" s="7">
        <f>E61</f>
        <v>900</v>
      </c>
      <c r="CF7" s="7"/>
      <c r="CG7" s="7">
        <f>CE7</f>
        <v>900</v>
      </c>
    </row>
    <row r="8" spans="2:85" x14ac:dyDescent="0.35">
      <c r="B8" s="75"/>
      <c r="C8" s="75" t="s">
        <v>119</v>
      </c>
      <c r="D8" s="75">
        <v>126</v>
      </c>
      <c r="E8" s="75"/>
      <c r="F8" s="75">
        <v>1500</v>
      </c>
      <c r="H8" s="37" t="s">
        <v>11</v>
      </c>
      <c r="I8" s="49">
        <f>M10</f>
        <v>550</v>
      </c>
      <c r="J8" s="57"/>
      <c r="K8" s="108" t="s">
        <v>0</v>
      </c>
      <c r="L8" s="7" t="s">
        <v>157</v>
      </c>
      <c r="M8" s="7">
        <f>AC11</f>
        <v>200</v>
      </c>
      <c r="N8" s="134"/>
      <c r="O8" s="7"/>
      <c r="Q8" s="8"/>
      <c r="R8" s="7"/>
      <c r="S8" s="7" t="s">
        <v>98</v>
      </c>
      <c r="T8" s="46">
        <f>E57</f>
        <v>1200</v>
      </c>
      <c r="U8" s="7"/>
      <c r="V8" s="7">
        <f t="shared" ref="V8:V17" si="0">V7+T8-U8</f>
        <v>11200</v>
      </c>
      <c r="W8" s="15"/>
      <c r="X8" s="79">
        <v>45688</v>
      </c>
      <c r="Y8" s="80" t="s">
        <v>136</v>
      </c>
      <c r="Z8" s="80" t="s">
        <v>122</v>
      </c>
      <c r="AA8" s="7"/>
      <c r="AB8" s="7"/>
      <c r="AC8" s="7">
        <f>AC7+AA8-AB8</f>
        <v>200</v>
      </c>
      <c r="AE8" s="79">
        <v>45688</v>
      </c>
      <c r="AF8" s="80" t="s">
        <v>136</v>
      </c>
      <c r="AG8" s="80" t="s">
        <v>122</v>
      </c>
      <c r="AH8" s="7"/>
      <c r="AI8" s="7">
        <f>F8</f>
        <v>1500</v>
      </c>
      <c r="AJ8" s="7">
        <f>AJ7+AH8-AI8</f>
        <v>1000</v>
      </c>
      <c r="AL8" s="79">
        <v>45688</v>
      </c>
      <c r="AM8" s="80" t="s">
        <v>136</v>
      </c>
      <c r="AN8" s="80" t="s">
        <v>122</v>
      </c>
      <c r="AO8" s="7"/>
      <c r="AP8" s="7">
        <f>F12</f>
        <v>50</v>
      </c>
      <c r="AQ8" s="7">
        <f>AQ7+AO8-AP8</f>
        <v>550</v>
      </c>
      <c r="AS8" s="8"/>
      <c r="AT8" s="7"/>
      <c r="AU8" s="7"/>
      <c r="AV8" s="7"/>
      <c r="AW8" s="7"/>
      <c r="AX8" s="7">
        <f>AX7+AV8-AW8</f>
        <v>5000</v>
      </c>
      <c r="AZ8" s="8"/>
      <c r="BA8" s="7"/>
      <c r="BB8" s="7"/>
      <c r="BC8" s="7"/>
      <c r="BD8" s="7"/>
      <c r="BE8" s="7">
        <f>+BE7+BD8-BC8</f>
        <v>5000</v>
      </c>
      <c r="BG8" s="8"/>
      <c r="BH8" s="7"/>
      <c r="BI8" s="7"/>
      <c r="BJ8" s="7"/>
      <c r="BK8" s="7"/>
      <c r="BL8" s="7">
        <f>BL7+BK8-BJ8</f>
        <v>10000</v>
      </c>
      <c r="BN8" s="8"/>
      <c r="BO8" s="7"/>
      <c r="BP8" s="7"/>
      <c r="BQ8" s="7"/>
      <c r="BR8" s="7"/>
      <c r="BS8" s="7">
        <f>BS7+BQ8-BR8</f>
        <v>500</v>
      </c>
      <c r="BU8" s="79">
        <v>45688</v>
      </c>
      <c r="BV8" s="80" t="s">
        <v>136</v>
      </c>
      <c r="BW8" s="80" t="s">
        <v>122</v>
      </c>
      <c r="BX8" s="7">
        <f>F20</f>
        <v>400</v>
      </c>
      <c r="BY8" s="7"/>
      <c r="BZ8" s="7">
        <f>BZ7+BY8-BX8</f>
        <v>9600</v>
      </c>
      <c r="CB8" s="8"/>
      <c r="CC8" s="7"/>
      <c r="CD8" s="7"/>
      <c r="CE8" s="7"/>
      <c r="CF8" s="7"/>
      <c r="CG8" s="7">
        <f>CG7+CE8-CF8</f>
        <v>900</v>
      </c>
    </row>
    <row r="9" spans="2:85" ht="18.5" x14ac:dyDescent="0.45">
      <c r="B9" s="75"/>
      <c r="C9" s="75" t="s">
        <v>130</v>
      </c>
      <c r="D9" s="75"/>
      <c r="E9" s="75"/>
      <c r="F9" s="75"/>
      <c r="H9" s="113" t="s">
        <v>141</v>
      </c>
      <c r="I9" s="16"/>
      <c r="J9" s="59"/>
      <c r="K9" s="108" t="s">
        <v>0</v>
      </c>
      <c r="L9" s="103" t="s">
        <v>11</v>
      </c>
      <c r="M9" s="102">
        <f>'3 Adjusting the Accounts'!AJ11</f>
        <v>1000</v>
      </c>
      <c r="N9" s="134"/>
      <c r="O9" s="7"/>
      <c r="Q9" s="8"/>
      <c r="R9" s="7"/>
      <c r="S9" s="7" t="s">
        <v>98</v>
      </c>
      <c r="T9" s="7"/>
      <c r="U9" s="7">
        <f>F62</f>
        <v>900</v>
      </c>
      <c r="V9" s="7">
        <f t="shared" si="0"/>
        <v>10300</v>
      </c>
      <c r="W9" s="15"/>
      <c r="X9" s="8"/>
      <c r="Y9" s="7"/>
      <c r="Z9" s="7"/>
      <c r="AA9" s="7"/>
      <c r="AB9" s="7"/>
      <c r="AC9" s="7">
        <f>AC8+AA9-AB9</f>
        <v>200</v>
      </c>
      <c r="AE9" s="8"/>
      <c r="AF9" s="7"/>
      <c r="AG9" s="7"/>
      <c r="AH9" s="7"/>
      <c r="AI9" s="7"/>
      <c r="AJ9" s="7">
        <f>AJ8+AH9-AI9</f>
        <v>1000</v>
      </c>
      <c r="AL9" s="8"/>
      <c r="AM9" s="7"/>
      <c r="AN9" s="7"/>
      <c r="AO9" s="7"/>
      <c r="AP9" s="7"/>
      <c r="AQ9" s="7">
        <f>AQ8+AO9-AP9</f>
        <v>550</v>
      </c>
      <c r="AS9" s="8"/>
      <c r="AT9" s="7"/>
      <c r="AU9" s="7"/>
      <c r="AV9" s="7"/>
      <c r="AW9" s="7"/>
      <c r="AX9" s="7">
        <f>AX8+AV9-AW9</f>
        <v>5000</v>
      </c>
      <c r="AZ9" s="8"/>
      <c r="BA9" s="7"/>
      <c r="BB9" s="7"/>
      <c r="BC9" s="7"/>
      <c r="BD9" s="7"/>
      <c r="BE9" s="7">
        <f>+BE8+BD9-BC9</f>
        <v>5000</v>
      </c>
      <c r="BG9" s="8"/>
      <c r="BH9" s="7"/>
      <c r="BI9" s="7"/>
      <c r="BJ9" s="7"/>
      <c r="BK9" s="7"/>
      <c r="BL9" s="7">
        <f>BL8+BK9-BJ9</f>
        <v>10000</v>
      </c>
      <c r="BN9" s="8"/>
      <c r="BO9" s="7"/>
      <c r="BP9" s="7"/>
      <c r="BQ9" s="7"/>
      <c r="BR9" s="7"/>
      <c r="BS9" s="7">
        <f>BS8+BQ9-BR9</f>
        <v>500</v>
      </c>
      <c r="BU9" s="79">
        <v>45688</v>
      </c>
      <c r="BV9" s="80" t="s">
        <v>136</v>
      </c>
      <c r="BW9" s="80" t="s">
        <v>122</v>
      </c>
      <c r="BX9" s="7"/>
      <c r="BY9" s="7">
        <f>F24</f>
        <v>200</v>
      </c>
      <c r="BZ9" s="7">
        <f>BZ8+BY9-BX9</f>
        <v>9800</v>
      </c>
      <c r="CB9" s="8"/>
      <c r="CC9" s="7"/>
      <c r="CD9" s="7"/>
      <c r="CE9" s="7"/>
      <c r="CF9" s="7"/>
      <c r="CG9" s="7">
        <f>CG8+CE9-CF9</f>
        <v>900</v>
      </c>
    </row>
    <row r="10" spans="2:85" x14ac:dyDescent="0.35">
      <c r="B10" s="75"/>
      <c r="C10" s="75"/>
      <c r="D10" s="75"/>
      <c r="E10" s="75"/>
      <c r="F10" s="75"/>
      <c r="H10" s="37" t="s">
        <v>139</v>
      </c>
      <c r="I10" s="49">
        <f>M11</f>
        <v>5000</v>
      </c>
      <c r="J10" s="57"/>
      <c r="K10" s="108" t="s">
        <v>0</v>
      </c>
      <c r="L10" s="7" t="s">
        <v>109</v>
      </c>
      <c r="M10" s="102">
        <f>AQ11</f>
        <v>550</v>
      </c>
      <c r="N10" s="134"/>
      <c r="O10" s="102"/>
      <c r="Q10" s="8"/>
      <c r="R10" s="7"/>
      <c r="S10" s="7" t="s">
        <v>98</v>
      </c>
      <c r="T10" s="7"/>
      <c r="U10" s="7">
        <f>F66</f>
        <v>600</v>
      </c>
      <c r="V10" s="7">
        <f t="shared" si="0"/>
        <v>9700</v>
      </c>
      <c r="W10" s="15"/>
      <c r="X10" s="8"/>
      <c r="Y10" s="7"/>
      <c r="Z10" s="7"/>
      <c r="AA10" s="7"/>
      <c r="AB10" s="7"/>
      <c r="AC10" s="7">
        <f>AC9+AA10-AB10</f>
        <v>200</v>
      </c>
      <c r="AE10" s="8"/>
      <c r="AF10" s="7"/>
      <c r="AG10" s="7"/>
      <c r="AH10" s="7"/>
      <c r="AI10" s="7"/>
      <c r="AJ10" s="7">
        <f>AJ9+AH10-AI10</f>
        <v>1000</v>
      </c>
      <c r="AL10" s="8"/>
      <c r="AM10" s="7"/>
      <c r="AN10" s="7"/>
      <c r="AO10" s="7"/>
      <c r="AP10" s="7"/>
      <c r="AQ10" s="7">
        <f>AQ9+AO10-AP10</f>
        <v>550</v>
      </c>
      <c r="AS10" s="8"/>
      <c r="AT10" s="7"/>
      <c r="AU10" s="7"/>
      <c r="AV10" s="7"/>
      <c r="AW10" s="7"/>
      <c r="AX10" s="7">
        <f>AX9+AV10-AW10</f>
        <v>5000</v>
      </c>
      <c r="AZ10" s="8"/>
      <c r="BA10" s="7"/>
      <c r="BB10" s="7"/>
      <c r="BC10" s="7"/>
      <c r="BD10" s="7"/>
      <c r="BE10" s="7">
        <f>+BE9+BD10-BC10</f>
        <v>5000</v>
      </c>
      <c r="BG10" s="8"/>
      <c r="BH10" s="7"/>
      <c r="BI10" s="7"/>
      <c r="BJ10" s="7"/>
      <c r="BK10" s="7"/>
      <c r="BL10" s="7">
        <f>BL9+BK10-BJ10</f>
        <v>10000</v>
      </c>
      <c r="BN10" s="8"/>
      <c r="BO10" s="7"/>
      <c r="BP10" s="7"/>
      <c r="BQ10" s="7"/>
      <c r="BR10" s="7"/>
      <c r="BS10" s="7">
        <f>BS9+BQ10-BR10</f>
        <v>500</v>
      </c>
      <c r="BU10" s="8"/>
      <c r="BV10" s="7"/>
      <c r="BW10" s="7"/>
      <c r="BX10" s="7"/>
      <c r="BY10" s="7"/>
      <c r="BZ10" s="7">
        <f>BZ9+BY10-BX10</f>
        <v>9800</v>
      </c>
      <c r="CB10" s="8"/>
      <c r="CC10" s="7"/>
      <c r="CD10" s="7"/>
      <c r="CE10" s="7"/>
      <c r="CF10" s="7"/>
      <c r="CG10" s="7">
        <f>CG9+CE10-CF10</f>
        <v>900</v>
      </c>
    </row>
    <row r="11" spans="2:85" ht="18.5" x14ac:dyDescent="0.45">
      <c r="B11" s="75">
        <v>31</v>
      </c>
      <c r="C11" s="75" t="s">
        <v>54</v>
      </c>
      <c r="D11" s="75">
        <v>722</v>
      </c>
      <c r="E11" s="75">
        <v>50</v>
      </c>
      <c r="F11" s="75"/>
      <c r="H11" s="2" t="s">
        <v>140</v>
      </c>
      <c r="I11" s="16">
        <f>O12</f>
        <v>40</v>
      </c>
      <c r="J11" s="57"/>
      <c r="K11" s="108" t="s">
        <v>0</v>
      </c>
      <c r="L11" s="103" t="s">
        <v>14</v>
      </c>
      <c r="M11" s="102">
        <f>AX11</f>
        <v>5000</v>
      </c>
      <c r="N11" s="134"/>
      <c r="O11" s="104"/>
      <c r="Q11" s="8"/>
      <c r="R11" s="7"/>
      <c r="S11" s="7" t="s">
        <v>98</v>
      </c>
      <c r="T11" s="7"/>
      <c r="U11" s="7">
        <f>F74</f>
        <v>500</v>
      </c>
      <c r="V11" s="7">
        <f t="shared" si="0"/>
        <v>9200</v>
      </c>
      <c r="W11" s="15"/>
      <c r="X11" s="8"/>
      <c r="Y11" s="7"/>
      <c r="Z11" s="7"/>
      <c r="AA11" s="7"/>
      <c r="AB11" s="7"/>
      <c r="AC11" s="7">
        <f>AC10+AA11-AB11</f>
        <v>200</v>
      </c>
      <c r="AE11" s="8"/>
      <c r="AF11" s="7"/>
      <c r="AG11" s="7"/>
      <c r="AH11" s="7"/>
      <c r="AI11" s="7"/>
      <c r="AJ11" s="7">
        <f>AJ10+AH11-AI11</f>
        <v>1000</v>
      </c>
      <c r="AL11" s="8"/>
      <c r="AM11" s="7"/>
      <c r="AN11" s="7"/>
      <c r="AO11" s="7"/>
      <c r="AP11" s="7"/>
      <c r="AQ11" s="7">
        <f>AQ10+AO11-AP11</f>
        <v>550</v>
      </c>
      <c r="AS11" s="8"/>
      <c r="AT11" s="7"/>
      <c r="AU11" s="7"/>
      <c r="AV11" s="7"/>
      <c r="AW11" s="7"/>
      <c r="AX11" s="7">
        <f>AX10+AV11-AW11</f>
        <v>5000</v>
      </c>
      <c r="AZ11" s="8"/>
      <c r="BA11" s="7"/>
      <c r="BB11" s="7"/>
      <c r="BC11" s="7"/>
      <c r="BD11" s="7"/>
      <c r="BE11" s="7">
        <f>+BE10+BD11-BC11</f>
        <v>5000</v>
      </c>
      <c r="BG11" s="8"/>
      <c r="BH11" s="7"/>
      <c r="BI11" s="7"/>
      <c r="BJ11" s="7"/>
      <c r="BK11" s="7"/>
      <c r="BL11" s="7">
        <f>BL10+BK11-BJ11</f>
        <v>10000</v>
      </c>
      <c r="BN11" s="8"/>
      <c r="BO11" s="7"/>
      <c r="BP11" s="7"/>
      <c r="BQ11" s="7"/>
      <c r="BR11" s="7"/>
      <c r="BS11" s="7">
        <f>BS10+BQ11-BR11</f>
        <v>500</v>
      </c>
      <c r="BU11" s="8"/>
      <c r="BV11" s="7"/>
      <c r="BW11" s="7"/>
      <c r="BX11" s="7"/>
      <c r="BY11" s="7"/>
      <c r="BZ11" s="7">
        <f>BZ10+BY11-BX11</f>
        <v>9800</v>
      </c>
      <c r="CB11" s="8"/>
      <c r="CC11" s="7"/>
      <c r="CD11" s="7"/>
      <c r="CE11" s="7"/>
      <c r="CF11" s="7"/>
      <c r="CG11" s="7">
        <f>CG10+CE11-CF11</f>
        <v>900</v>
      </c>
    </row>
    <row r="12" spans="2:85" x14ac:dyDescent="0.35">
      <c r="B12" s="75"/>
      <c r="C12" s="75" t="s">
        <v>121</v>
      </c>
      <c r="D12" s="75">
        <v>130</v>
      </c>
      <c r="E12" s="75"/>
      <c r="F12" s="75">
        <v>50</v>
      </c>
      <c r="H12" s="84" t="s">
        <v>142</v>
      </c>
      <c r="I12" s="85">
        <f>I10-I11</f>
        <v>4960</v>
      </c>
      <c r="J12" s="57"/>
      <c r="K12" s="108" t="s">
        <v>1</v>
      </c>
      <c r="L12" s="7" t="s">
        <v>138</v>
      </c>
      <c r="M12" s="7"/>
      <c r="N12" s="134"/>
      <c r="O12" s="7">
        <f>AX20</f>
        <v>40</v>
      </c>
      <c r="Q12" s="8"/>
      <c r="R12" s="7"/>
      <c r="S12" s="7" t="s">
        <v>98</v>
      </c>
      <c r="T12" s="7"/>
      <c r="U12" s="46">
        <f>F78</f>
        <v>4000</v>
      </c>
      <c r="V12" s="7">
        <f t="shared" si="0"/>
        <v>5200</v>
      </c>
      <c r="W12" s="15"/>
      <c r="X12" s="15"/>
      <c r="Y12" s="15"/>
      <c r="Z12" s="15"/>
      <c r="AA12" s="15"/>
      <c r="AB12" s="15"/>
      <c r="AC12" s="15"/>
    </row>
    <row r="13" spans="2:85" ht="18.5" x14ac:dyDescent="0.45">
      <c r="B13" s="75"/>
      <c r="C13" s="75" t="s">
        <v>131</v>
      </c>
      <c r="D13" s="75"/>
      <c r="E13" s="75"/>
      <c r="F13" s="75"/>
      <c r="H13" s="37" t="s">
        <v>76</v>
      </c>
      <c r="I13" s="50">
        <f>I5+I6+I7+I8+I12</f>
        <v>21910</v>
      </c>
      <c r="J13" s="58"/>
      <c r="K13" s="108" t="s">
        <v>1</v>
      </c>
      <c r="L13" s="103" t="s">
        <v>94</v>
      </c>
      <c r="M13" s="7"/>
      <c r="N13" s="134"/>
      <c r="O13" s="102">
        <f>BE11</f>
        <v>5000</v>
      </c>
      <c r="Q13" s="8"/>
      <c r="R13" s="7"/>
      <c r="S13" s="7" t="s">
        <v>98</v>
      </c>
      <c r="T13" s="46">
        <f>E81</f>
        <v>10000</v>
      </c>
      <c r="U13" s="7"/>
      <c r="V13" s="7">
        <f t="shared" si="0"/>
        <v>15200</v>
      </c>
      <c r="W13" s="15"/>
      <c r="X13" s="15"/>
      <c r="Y13" s="15"/>
      <c r="Z13" s="15"/>
      <c r="AA13" s="15"/>
      <c r="AB13" s="15"/>
      <c r="AC13" s="15"/>
      <c r="AS13" s="118" t="s">
        <v>163</v>
      </c>
      <c r="AT13" s="119"/>
      <c r="AU13" s="119"/>
      <c r="AV13" s="119"/>
      <c r="AW13" s="119"/>
      <c r="AX13" s="120"/>
      <c r="AZ13" s="118" t="s">
        <v>108</v>
      </c>
      <c r="BA13" s="119"/>
      <c r="BB13" s="119"/>
      <c r="BC13" s="119"/>
      <c r="BD13" s="119"/>
      <c r="BE13" s="120"/>
      <c r="CB13" s="118" t="s">
        <v>59</v>
      </c>
      <c r="CC13" s="119"/>
      <c r="CD13" s="119"/>
      <c r="CE13" s="119"/>
      <c r="CF13" s="119"/>
      <c r="CG13" s="120"/>
    </row>
    <row r="14" spans="2:85" ht="18.5" x14ac:dyDescent="0.45">
      <c r="B14" s="75"/>
      <c r="C14" s="75"/>
      <c r="D14" s="75"/>
      <c r="E14" s="75"/>
      <c r="F14" s="75"/>
      <c r="H14" s="37"/>
      <c r="I14" s="49"/>
      <c r="J14" s="57"/>
      <c r="K14" s="108" t="s">
        <v>1</v>
      </c>
      <c r="L14" s="103" t="s">
        <v>22</v>
      </c>
      <c r="M14" s="105"/>
      <c r="N14" s="134"/>
      <c r="O14" s="102">
        <f>BE20</f>
        <v>2500</v>
      </c>
      <c r="Q14" s="40"/>
      <c r="R14" s="7"/>
      <c r="S14" s="7" t="s">
        <v>98</v>
      </c>
      <c r="T14" s="7"/>
      <c r="V14" s="7">
        <f t="shared" si="0"/>
        <v>15200</v>
      </c>
      <c r="W14" s="15"/>
      <c r="X14" s="15"/>
      <c r="Y14" s="15"/>
      <c r="Z14" s="15"/>
      <c r="AA14" s="15"/>
      <c r="AB14" s="15"/>
      <c r="AC14" s="15"/>
      <c r="AS14" s="111"/>
      <c r="AT14" s="112"/>
      <c r="AU14" s="112"/>
      <c r="AV14" s="112"/>
      <c r="AW14" s="44" t="s">
        <v>89</v>
      </c>
      <c r="AX14" s="45">
        <v>157</v>
      </c>
      <c r="AZ14" s="88"/>
      <c r="BA14" s="89"/>
      <c r="BB14" s="89"/>
      <c r="BC14" s="89"/>
      <c r="BD14" s="44" t="s">
        <v>89</v>
      </c>
      <c r="BE14" s="45">
        <v>201</v>
      </c>
      <c r="CB14" s="88"/>
      <c r="CC14" s="89"/>
      <c r="CD14" s="89"/>
      <c r="CE14" s="89"/>
      <c r="CF14" s="44" t="s">
        <v>89</v>
      </c>
      <c r="CG14" s="45">
        <v>726</v>
      </c>
    </row>
    <row r="15" spans="2:85" ht="18.5" x14ac:dyDescent="0.45">
      <c r="B15" s="75">
        <v>31</v>
      </c>
      <c r="C15" s="75" t="s">
        <v>51</v>
      </c>
      <c r="D15" s="75">
        <v>711</v>
      </c>
      <c r="E15" s="75">
        <v>40</v>
      </c>
      <c r="F15" s="75"/>
      <c r="H15" s="39" t="s">
        <v>1</v>
      </c>
      <c r="I15" s="49"/>
      <c r="J15" s="60"/>
      <c r="K15" s="108" t="s">
        <v>1</v>
      </c>
      <c r="L15" s="7" t="s">
        <v>110</v>
      </c>
      <c r="M15" s="102"/>
      <c r="N15" s="134"/>
      <c r="O15" s="102">
        <f>BE29</f>
        <v>1600</v>
      </c>
      <c r="Q15" s="8"/>
      <c r="R15" s="7"/>
      <c r="S15" s="7"/>
      <c r="T15" s="7"/>
      <c r="U15" s="7"/>
      <c r="V15" s="7">
        <f t="shared" si="0"/>
        <v>15200</v>
      </c>
      <c r="W15" s="15"/>
      <c r="X15" s="15"/>
      <c r="Y15" s="15"/>
      <c r="Z15" s="15"/>
      <c r="AA15" s="15"/>
      <c r="AB15" s="15"/>
      <c r="AC15" s="15"/>
      <c r="AS15" s="9" t="s">
        <v>62</v>
      </c>
      <c r="AT15" s="9" t="s">
        <v>63</v>
      </c>
      <c r="AU15" s="9" t="s">
        <v>115</v>
      </c>
      <c r="AV15" s="9" t="s">
        <v>66</v>
      </c>
      <c r="AW15" s="9" t="s">
        <v>67</v>
      </c>
      <c r="AX15" s="9" t="s">
        <v>65</v>
      </c>
      <c r="AZ15" s="9" t="s">
        <v>62</v>
      </c>
      <c r="BA15" s="9" t="s">
        <v>63</v>
      </c>
      <c r="BB15" s="9" t="s">
        <v>115</v>
      </c>
      <c r="BC15" s="9" t="s">
        <v>70</v>
      </c>
      <c r="BD15" s="9" t="s">
        <v>71</v>
      </c>
      <c r="BE15" s="9" t="s">
        <v>65</v>
      </c>
      <c r="CB15" s="9" t="s">
        <v>62</v>
      </c>
      <c r="CC15" s="9" t="s">
        <v>63</v>
      </c>
      <c r="CD15" s="9" t="s">
        <v>115</v>
      </c>
      <c r="CE15" s="9" t="s">
        <v>66</v>
      </c>
      <c r="CF15" s="9" t="s">
        <v>67</v>
      </c>
      <c r="CG15" s="9" t="s">
        <v>65</v>
      </c>
    </row>
    <row r="16" spans="2:85" x14ac:dyDescent="0.35">
      <c r="B16" s="75"/>
      <c r="C16" s="75" t="s">
        <v>123</v>
      </c>
      <c r="D16" s="75">
        <v>158</v>
      </c>
      <c r="E16" s="75"/>
      <c r="F16" s="75">
        <v>40</v>
      </c>
      <c r="H16" s="37" t="s">
        <v>144</v>
      </c>
      <c r="I16" s="49">
        <f>O13</f>
        <v>5000</v>
      </c>
      <c r="J16" s="57"/>
      <c r="K16" s="108" t="s">
        <v>1</v>
      </c>
      <c r="L16" s="103" t="s">
        <v>158</v>
      </c>
      <c r="M16" s="7"/>
      <c r="N16" s="134"/>
      <c r="O16" s="7">
        <f>BE37</f>
        <v>50</v>
      </c>
      <c r="Q16" s="8"/>
      <c r="R16" s="7"/>
      <c r="S16" s="7"/>
      <c r="T16" s="7"/>
      <c r="U16" s="7"/>
      <c r="V16" s="7">
        <f t="shared" si="0"/>
        <v>15200</v>
      </c>
      <c r="W16" s="15"/>
      <c r="X16" s="15"/>
      <c r="Y16" s="15"/>
      <c r="Z16" s="15"/>
      <c r="AA16" s="15"/>
      <c r="AB16" s="15"/>
      <c r="AC16" s="15"/>
      <c r="AS16" s="79">
        <v>45688</v>
      </c>
      <c r="AT16" s="80" t="s">
        <v>136</v>
      </c>
      <c r="AU16" s="80" t="s">
        <v>122</v>
      </c>
      <c r="AV16" s="46">
        <f>F16</f>
        <v>40</v>
      </c>
      <c r="AW16" s="7"/>
      <c r="AX16" s="7">
        <f>AV16</f>
        <v>40</v>
      </c>
      <c r="AZ16" s="8">
        <v>45658</v>
      </c>
      <c r="BA16" s="7"/>
      <c r="BB16" s="7" t="s">
        <v>98</v>
      </c>
      <c r="BC16" s="7"/>
      <c r="BD16" s="46">
        <f>F70</f>
        <v>2500</v>
      </c>
      <c r="BE16" s="7">
        <f>BD16</f>
        <v>2500</v>
      </c>
      <c r="CB16" s="8">
        <v>45658</v>
      </c>
      <c r="CC16" s="7"/>
      <c r="CD16" s="7" t="s">
        <v>98</v>
      </c>
      <c r="CE16" s="46">
        <f>E77</f>
        <v>4000</v>
      </c>
      <c r="CF16" s="7"/>
      <c r="CG16" s="7">
        <f>CE16</f>
        <v>4000</v>
      </c>
    </row>
    <row r="17" spans="2:85" x14ac:dyDescent="0.35">
      <c r="B17" s="75"/>
      <c r="C17" s="75" t="s">
        <v>124</v>
      </c>
      <c r="D17" s="75"/>
      <c r="E17" s="75"/>
      <c r="F17" s="75"/>
      <c r="H17" s="2" t="s">
        <v>143</v>
      </c>
      <c r="I17" s="53">
        <f>O15</f>
        <v>1600</v>
      </c>
      <c r="J17" s="57"/>
      <c r="K17" s="108" t="s">
        <v>1</v>
      </c>
      <c r="L17" s="7"/>
      <c r="M17" s="7"/>
      <c r="N17" s="134"/>
      <c r="O17" s="7"/>
      <c r="Q17" s="8"/>
      <c r="R17" s="7"/>
      <c r="S17" s="7"/>
      <c r="T17" s="7"/>
      <c r="U17" s="7"/>
      <c r="V17" s="7">
        <f t="shared" si="0"/>
        <v>15200</v>
      </c>
      <c r="W17" s="15"/>
      <c r="X17" s="15"/>
      <c r="Y17" s="15"/>
      <c r="Z17" s="15"/>
      <c r="AA17" s="15"/>
      <c r="AB17" s="15"/>
      <c r="AC17" s="15"/>
      <c r="AS17" s="8"/>
      <c r="AT17" s="7"/>
      <c r="AU17" s="7"/>
      <c r="AV17" s="7"/>
      <c r="AW17" s="7"/>
      <c r="AX17" s="7">
        <f>AX16+AV17-AW17</f>
        <v>40</v>
      </c>
      <c r="AZ17" s="8"/>
      <c r="BA17" s="7"/>
      <c r="BB17" s="7"/>
      <c r="BC17" s="7"/>
      <c r="BD17" s="7"/>
      <c r="BE17" s="7">
        <f>+BE16+BD17-BC17</f>
        <v>2500</v>
      </c>
      <c r="CB17" s="8">
        <v>45658</v>
      </c>
      <c r="CC17" s="80" t="s">
        <v>136</v>
      </c>
      <c r="CD17" s="80" t="s">
        <v>122</v>
      </c>
      <c r="CE17" s="7">
        <f>E31</f>
        <v>1200</v>
      </c>
      <c r="CF17" s="7"/>
      <c r="CG17" s="7">
        <f>CG16+CE17-CF17</f>
        <v>5200</v>
      </c>
    </row>
    <row r="18" spans="2:85" x14ac:dyDescent="0.35">
      <c r="B18" s="75"/>
      <c r="C18" s="75"/>
      <c r="D18" s="75"/>
      <c r="E18" s="75"/>
      <c r="F18" s="75"/>
      <c r="H18" s="2" t="s">
        <v>166</v>
      </c>
      <c r="I18" s="16">
        <f>O18</f>
        <v>1200</v>
      </c>
      <c r="J18" s="57"/>
      <c r="K18" s="108" t="s">
        <v>1</v>
      </c>
      <c r="L18" s="7" t="s">
        <v>159</v>
      </c>
      <c r="M18" s="102"/>
      <c r="N18" s="134"/>
      <c r="O18" s="102">
        <f>BE45</f>
        <v>1200</v>
      </c>
      <c r="AS18" s="8"/>
      <c r="AT18" s="7"/>
      <c r="AU18" s="7"/>
      <c r="AV18" s="7"/>
      <c r="AW18" s="7"/>
      <c r="AX18" s="7">
        <f>AX17+AV18-AW18</f>
        <v>40</v>
      </c>
      <c r="AZ18" s="8"/>
      <c r="BA18" s="7"/>
      <c r="BB18" s="7"/>
      <c r="BC18" s="7"/>
      <c r="BD18" s="7"/>
      <c r="BE18" s="7">
        <f>+BE17+BD18-BC18</f>
        <v>2500</v>
      </c>
      <c r="CB18" s="8"/>
      <c r="CC18" s="7"/>
      <c r="CD18" s="7"/>
      <c r="CE18" s="7"/>
      <c r="CF18" s="7"/>
      <c r="CG18" s="7">
        <f>CG17+CE18-CF18</f>
        <v>5200</v>
      </c>
    </row>
    <row r="19" spans="2:85" x14ac:dyDescent="0.35">
      <c r="B19" s="75">
        <v>31</v>
      </c>
      <c r="C19" s="75" t="s">
        <v>110</v>
      </c>
      <c r="D19" s="75">
        <v>209</v>
      </c>
      <c r="E19" s="75">
        <v>400</v>
      </c>
      <c r="F19" s="75"/>
      <c r="H19" s="37" t="s">
        <v>145</v>
      </c>
      <c r="I19" s="49">
        <f>O14</f>
        <v>2500</v>
      </c>
      <c r="J19" s="57"/>
      <c r="K19" s="108" t="s">
        <v>72</v>
      </c>
      <c r="L19" s="103" t="s">
        <v>32</v>
      </c>
      <c r="M19" s="7"/>
      <c r="N19" s="134"/>
      <c r="O19" s="102">
        <f>BL11</f>
        <v>10000</v>
      </c>
      <c r="AS19" s="8"/>
      <c r="AT19" s="7"/>
      <c r="AU19" s="7"/>
      <c r="AV19" s="7"/>
      <c r="AW19" s="7"/>
      <c r="AX19" s="7">
        <f>AX18+AV19-AW19</f>
        <v>40</v>
      </c>
      <c r="AZ19" s="8"/>
      <c r="BA19" s="7"/>
      <c r="BB19" s="7"/>
      <c r="BC19" s="7"/>
      <c r="BD19" s="7"/>
      <c r="BE19" s="7">
        <f>+BE18+BD19-BC19</f>
        <v>2500</v>
      </c>
      <c r="CB19" s="8"/>
      <c r="CC19" s="7"/>
      <c r="CD19" s="7"/>
      <c r="CE19" s="7"/>
      <c r="CF19" s="7"/>
      <c r="CG19" s="7">
        <f>CG18+CE19-CF19</f>
        <v>5200</v>
      </c>
    </row>
    <row r="20" spans="2:85" x14ac:dyDescent="0.35">
      <c r="B20" s="75"/>
      <c r="C20" s="75" t="s">
        <v>125</v>
      </c>
      <c r="D20" s="75">
        <v>400</v>
      </c>
      <c r="E20" s="75"/>
      <c r="F20" s="75">
        <v>400</v>
      </c>
      <c r="H20" s="2" t="s">
        <v>146</v>
      </c>
      <c r="I20" s="53">
        <f>O16</f>
        <v>50</v>
      </c>
      <c r="J20" s="57"/>
      <c r="K20" s="108" t="s">
        <v>72</v>
      </c>
      <c r="L20" s="103" t="s">
        <v>73</v>
      </c>
      <c r="M20" s="106">
        <f>BS11</f>
        <v>500</v>
      </c>
      <c r="N20" s="134"/>
      <c r="O20" s="105"/>
      <c r="AS20" s="8"/>
      <c r="AT20" s="7"/>
      <c r="AU20" s="7"/>
      <c r="AV20" s="7"/>
      <c r="AW20" s="7"/>
      <c r="AX20" s="7">
        <f>AX19+AV20-AW20</f>
        <v>40</v>
      </c>
      <c r="AZ20" s="8"/>
      <c r="BA20" s="7"/>
      <c r="BB20" s="7"/>
      <c r="BC20" s="7"/>
      <c r="BD20" s="7"/>
      <c r="BE20" s="7">
        <f>+BE19+BD20-BC20</f>
        <v>2500</v>
      </c>
      <c r="CB20" s="8"/>
      <c r="CC20" s="7"/>
      <c r="CD20" s="7"/>
      <c r="CE20" s="7"/>
      <c r="CF20" s="7"/>
      <c r="CG20" s="7">
        <f>CG19+CE20-CF20</f>
        <v>5200</v>
      </c>
    </row>
    <row r="21" spans="2:85" x14ac:dyDescent="0.35">
      <c r="B21" s="75"/>
      <c r="C21" s="75" t="s">
        <v>126</v>
      </c>
      <c r="D21" s="75"/>
      <c r="E21" s="75"/>
      <c r="F21" s="75"/>
      <c r="H21" s="83" t="s">
        <v>78</v>
      </c>
      <c r="I21" s="82">
        <f>SUM(I16:I20)</f>
        <v>10350</v>
      </c>
      <c r="J21" s="60"/>
      <c r="K21" s="108" t="s">
        <v>74</v>
      </c>
      <c r="L21" s="103" t="s">
        <v>106</v>
      </c>
      <c r="M21" s="102"/>
      <c r="N21" s="134"/>
      <c r="O21" s="102">
        <f>BZ11</f>
        <v>9800</v>
      </c>
    </row>
    <row r="22" spans="2:85" ht="18.5" x14ac:dyDescent="0.45">
      <c r="B22" s="75"/>
      <c r="C22" s="75"/>
      <c r="D22" s="75"/>
      <c r="E22" s="75"/>
      <c r="F22" s="75"/>
      <c r="H22" s="39" t="s">
        <v>72</v>
      </c>
      <c r="I22" s="49"/>
      <c r="J22" s="59"/>
      <c r="K22" s="110" t="s">
        <v>74</v>
      </c>
      <c r="L22" s="7" t="s">
        <v>113</v>
      </c>
      <c r="M22" s="7">
        <f>CG20</f>
        <v>5200</v>
      </c>
      <c r="N22" s="134"/>
      <c r="O22" s="7"/>
      <c r="AZ22" s="118" t="s">
        <v>23</v>
      </c>
      <c r="BA22" s="119"/>
      <c r="BB22" s="119"/>
      <c r="BC22" s="119"/>
      <c r="BD22" s="119"/>
      <c r="BE22" s="120"/>
      <c r="CB22" s="118" t="s">
        <v>118</v>
      </c>
      <c r="CC22" s="119"/>
      <c r="CD22" s="119"/>
      <c r="CE22" s="119"/>
      <c r="CF22" s="119"/>
      <c r="CG22" s="120"/>
    </row>
    <row r="23" spans="2:85" ht="18.5" x14ac:dyDescent="0.45">
      <c r="B23" s="75">
        <v>31</v>
      </c>
      <c r="C23" s="75" t="s">
        <v>7</v>
      </c>
      <c r="D23" s="75">
        <v>112</v>
      </c>
      <c r="E23" s="75">
        <v>200</v>
      </c>
      <c r="F23" s="75"/>
      <c r="H23" s="37" t="s">
        <v>147</v>
      </c>
      <c r="I23" s="49">
        <f>O19</f>
        <v>10000</v>
      </c>
      <c r="J23" s="41"/>
      <c r="K23" s="109" t="s">
        <v>75</v>
      </c>
      <c r="L23" s="103" t="s">
        <v>60</v>
      </c>
      <c r="M23" s="7">
        <f>CG39</f>
        <v>1500</v>
      </c>
      <c r="N23" s="134"/>
      <c r="O23" s="7"/>
      <c r="AZ23" s="88"/>
      <c r="BA23" s="89"/>
      <c r="BB23" s="89"/>
      <c r="BC23" s="89"/>
      <c r="BD23" s="44" t="s">
        <v>89</v>
      </c>
      <c r="BE23" s="45">
        <v>209</v>
      </c>
      <c r="CB23" s="98"/>
      <c r="CC23" s="99"/>
      <c r="CD23" s="99"/>
      <c r="CE23" s="99"/>
      <c r="CF23" s="44" t="s">
        <v>89</v>
      </c>
      <c r="CG23" s="45">
        <v>631</v>
      </c>
    </row>
    <row r="24" spans="2:85" x14ac:dyDescent="0.35">
      <c r="B24" s="75"/>
      <c r="C24" s="75" t="s">
        <v>125</v>
      </c>
      <c r="D24" s="75">
        <v>400</v>
      </c>
      <c r="E24" s="75"/>
      <c r="F24" s="75">
        <v>200</v>
      </c>
      <c r="H24" s="37" t="s">
        <v>148</v>
      </c>
      <c r="I24" s="49">
        <f>M20</f>
        <v>500</v>
      </c>
      <c r="J24" s="41"/>
      <c r="K24" s="109" t="s">
        <v>75</v>
      </c>
      <c r="L24" s="103" t="s">
        <v>82</v>
      </c>
      <c r="M24" s="102">
        <f>CG11</f>
        <v>900</v>
      </c>
      <c r="N24" s="134"/>
      <c r="O24" s="102"/>
      <c r="AZ24" s="9" t="s">
        <v>62</v>
      </c>
      <c r="BA24" s="9" t="s">
        <v>63</v>
      </c>
      <c r="BB24" s="9" t="s">
        <v>115</v>
      </c>
      <c r="BC24" s="9" t="s">
        <v>70</v>
      </c>
      <c r="BD24" s="9" t="s">
        <v>71</v>
      </c>
      <c r="BE24" s="9" t="s">
        <v>65</v>
      </c>
      <c r="CB24" s="9" t="s">
        <v>62</v>
      </c>
      <c r="CC24" s="9" t="s">
        <v>63</v>
      </c>
      <c r="CD24" s="9" t="s">
        <v>115</v>
      </c>
      <c r="CE24" s="9" t="s">
        <v>66</v>
      </c>
      <c r="CF24" s="9" t="s">
        <v>67</v>
      </c>
      <c r="CG24" s="9" t="s">
        <v>65</v>
      </c>
    </row>
    <row r="25" spans="2:85" x14ac:dyDescent="0.35">
      <c r="B25" s="75"/>
      <c r="C25" s="75" t="s">
        <v>126</v>
      </c>
      <c r="D25" s="75"/>
      <c r="E25" s="75"/>
      <c r="F25" s="75"/>
      <c r="H25" s="37" t="s">
        <v>149</v>
      </c>
      <c r="I25" s="49">
        <f>O21</f>
        <v>9800</v>
      </c>
      <c r="J25" s="41"/>
      <c r="K25" s="109" t="s">
        <v>75</v>
      </c>
      <c r="L25" s="107" t="s">
        <v>137</v>
      </c>
      <c r="M25" s="7">
        <f>CG48</f>
        <v>50</v>
      </c>
      <c r="N25" s="134"/>
      <c r="O25" s="7"/>
      <c r="AZ25" s="8">
        <v>45658</v>
      </c>
      <c r="BA25" s="7"/>
      <c r="BB25" s="7" t="s">
        <v>98</v>
      </c>
      <c r="BC25" s="7"/>
      <c r="BD25" s="46">
        <f>F58</f>
        <v>1200</v>
      </c>
      <c r="BE25" s="7">
        <f>BD25</f>
        <v>1200</v>
      </c>
      <c r="CB25" s="8">
        <v>45658</v>
      </c>
      <c r="CC25" s="80" t="s">
        <v>136</v>
      </c>
      <c r="CD25" s="80" t="s">
        <v>122</v>
      </c>
      <c r="CE25" s="46"/>
      <c r="CF25" s="7"/>
      <c r="CG25" s="7">
        <f>CE25</f>
        <v>0</v>
      </c>
    </row>
    <row r="26" spans="2:85" x14ac:dyDescent="0.35">
      <c r="B26" s="75"/>
      <c r="C26" s="75"/>
      <c r="D26" s="75"/>
      <c r="E26" s="75"/>
      <c r="F26" s="75"/>
      <c r="H26" s="77" t="s">
        <v>133</v>
      </c>
      <c r="I26" s="53"/>
      <c r="J26" s="41"/>
      <c r="K26" s="109" t="s">
        <v>75</v>
      </c>
      <c r="L26" s="103" t="s">
        <v>160</v>
      </c>
      <c r="M26" s="7">
        <f>BE37</f>
        <v>50</v>
      </c>
      <c r="N26" s="134"/>
      <c r="O26" s="7"/>
      <c r="AZ26" s="79">
        <v>45688</v>
      </c>
      <c r="BA26" s="80" t="s">
        <v>136</v>
      </c>
      <c r="BB26" s="80" t="s">
        <v>122</v>
      </c>
      <c r="BC26" s="7"/>
      <c r="BD26" s="7">
        <f>E19</f>
        <v>400</v>
      </c>
      <c r="BE26" s="7">
        <f>+BE25+BD26-BC26</f>
        <v>1600</v>
      </c>
      <c r="CB26" s="8"/>
      <c r="CC26" s="7"/>
      <c r="CD26" s="7"/>
      <c r="CE26" s="7"/>
      <c r="CF26" s="7"/>
      <c r="CG26" s="7">
        <f>CG25+CE26-CF26</f>
        <v>0</v>
      </c>
    </row>
    <row r="27" spans="2:85" x14ac:dyDescent="0.35">
      <c r="B27" s="75">
        <v>31</v>
      </c>
      <c r="C27" s="75" t="s">
        <v>127</v>
      </c>
      <c r="D27" s="75">
        <v>905</v>
      </c>
      <c r="E27" s="75">
        <v>50</v>
      </c>
      <c r="F27" s="75"/>
      <c r="H27" s="37" t="s">
        <v>150</v>
      </c>
      <c r="I27" s="49">
        <f>M24</f>
        <v>900</v>
      </c>
      <c r="J27" s="41"/>
      <c r="K27" s="109" t="s">
        <v>75</v>
      </c>
      <c r="L27" s="7" t="s">
        <v>161</v>
      </c>
      <c r="M27" s="7">
        <f>CG57</f>
        <v>40</v>
      </c>
      <c r="N27" s="135"/>
      <c r="O27" s="7"/>
      <c r="AZ27" s="8"/>
      <c r="BA27" s="7"/>
      <c r="BB27" s="7"/>
      <c r="BC27" s="7"/>
      <c r="BD27" s="7"/>
      <c r="BE27" s="7">
        <f>+BE26+BD27-BC27</f>
        <v>1600</v>
      </c>
      <c r="CB27" s="8"/>
      <c r="CC27" s="7"/>
      <c r="CD27" s="7"/>
      <c r="CE27" s="7"/>
      <c r="CF27" s="7"/>
      <c r="CG27" s="7">
        <f>CG26+CE27-CF27</f>
        <v>0</v>
      </c>
    </row>
    <row r="28" spans="2:85" x14ac:dyDescent="0.35">
      <c r="B28" s="75"/>
      <c r="C28" s="75" t="s">
        <v>128</v>
      </c>
      <c r="D28" s="75">
        <v>230</v>
      </c>
      <c r="E28" s="75"/>
      <c r="F28" s="75">
        <v>50</v>
      </c>
      <c r="H28" s="2" t="s">
        <v>151</v>
      </c>
      <c r="I28" s="53">
        <f>M22</f>
        <v>5200</v>
      </c>
      <c r="J28" s="41"/>
      <c r="K28" s="63"/>
      <c r="L28" s="37"/>
      <c r="M28" s="57"/>
      <c r="N28" s="57"/>
      <c r="O28" s="49"/>
      <c r="AZ28" s="8"/>
      <c r="BA28" s="7"/>
      <c r="BB28" s="7"/>
      <c r="BC28" s="7"/>
      <c r="BD28" s="7"/>
      <c r="BE28" s="7">
        <f>+BE27+BD28-BC28</f>
        <v>1600</v>
      </c>
      <c r="CB28" s="8"/>
      <c r="CC28" s="7"/>
      <c r="CD28" s="7"/>
      <c r="CE28" s="7"/>
      <c r="CF28" s="7"/>
      <c r="CG28" s="7">
        <f>CG27+CE28-CF28</f>
        <v>0</v>
      </c>
    </row>
    <row r="29" spans="2:85" x14ac:dyDescent="0.35">
      <c r="B29" s="75"/>
      <c r="C29" s="75" t="s">
        <v>129</v>
      </c>
      <c r="D29" s="75"/>
      <c r="E29" s="75"/>
      <c r="F29" s="75"/>
      <c r="H29" s="2" t="s">
        <v>152</v>
      </c>
      <c r="I29" s="53">
        <f>M26</f>
        <v>50</v>
      </c>
      <c r="J29" s="41"/>
      <c r="K29" s="63"/>
      <c r="L29" s="2"/>
      <c r="M29" s="57"/>
      <c r="N29" s="57"/>
      <c r="O29" s="49"/>
      <c r="AZ29" s="8"/>
      <c r="BA29" s="7"/>
      <c r="BB29" s="7"/>
      <c r="BC29" s="7"/>
      <c r="BD29" s="7"/>
      <c r="BE29" s="7">
        <f>+BE28+BD29-BC29</f>
        <v>1600</v>
      </c>
      <c r="CB29" s="8"/>
      <c r="CC29" s="7"/>
      <c r="CD29" s="7"/>
      <c r="CE29" s="7"/>
      <c r="CF29" s="7"/>
      <c r="CG29" s="7">
        <f>CG28+CE29-CF29</f>
        <v>0</v>
      </c>
    </row>
    <row r="30" spans="2:85" ht="19" thickBot="1" x14ac:dyDescent="0.5">
      <c r="B30" s="75"/>
      <c r="C30" s="75"/>
      <c r="D30" s="75"/>
      <c r="E30" s="75"/>
      <c r="F30" s="75"/>
      <c r="H30" s="81" t="s">
        <v>153</v>
      </c>
      <c r="I30" s="16">
        <f>M25</f>
        <v>50</v>
      </c>
      <c r="J30" s="41"/>
      <c r="K30" s="63"/>
      <c r="L30" s="64"/>
      <c r="M30" s="86">
        <f>SUM(M7:M29)</f>
        <v>30190</v>
      </c>
      <c r="N30" s="59"/>
      <c r="O30" s="87">
        <f>SUM(O7:O29)</f>
        <v>30190</v>
      </c>
    </row>
    <row r="31" spans="2:85" ht="15" thickTop="1" x14ac:dyDescent="0.35">
      <c r="B31" s="75">
        <v>31</v>
      </c>
      <c r="C31" s="75" t="s">
        <v>113</v>
      </c>
      <c r="D31" s="75">
        <v>726</v>
      </c>
      <c r="E31" s="75">
        <v>1200</v>
      </c>
      <c r="F31" s="75"/>
      <c r="H31" s="2" t="s">
        <v>154</v>
      </c>
      <c r="I31" s="16">
        <f>M27</f>
        <v>40</v>
      </c>
      <c r="J31" s="41"/>
      <c r="K31" s="100"/>
      <c r="L31" s="66"/>
      <c r="M31" s="67"/>
      <c r="N31" s="67"/>
      <c r="O31" s="68"/>
      <c r="AZ31" s="118" t="s">
        <v>164</v>
      </c>
      <c r="BA31" s="119"/>
      <c r="BB31" s="119"/>
      <c r="BC31" s="119"/>
      <c r="BD31" s="119"/>
      <c r="BE31" s="120"/>
    </row>
    <row r="32" spans="2:85" ht="18.5" x14ac:dyDescent="0.45">
      <c r="B32" s="75"/>
      <c r="C32" s="75" t="s">
        <v>132</v>
      </c>
      <c r="D32" s="75">
        <v>212</v>
      </c>
      <c r="E32" s="75"/>
      <c r="F32" s="75">
        <v>1200</v>
      </c>
      <c r="H32" s="2" t="s">
        <v>155</v>
      </c>
      <c r="I32" s="53">
        <f>M23</f>
        <v>1500</v>
      </c>
      <c r="J32" s="41"/>
      <c r="K32" s="41"/>
      <c r="L32" s="41"/>
      <c r="M32" s="41"/>
      <c r="N32" s="41"/>
      <c r="O32" s="41"/>
      <c r="AZ32" s="114"/>
      <c r="BA32" s="115"/>
      <c r="BB32" s="115"/>
      <c r="BC32" s="115"/>
      <c r="BD32" s="44" t="s">
        <v>89</v>
      </c>
      <c r="BE32" s="45">
        <v>230</v>
      </c>
      <c r="CB32" s="118" t="s">
        <v>118</v>
      </c>
      <c r="CC32" s="119"/>
      <c r="CD32" s="119"/>
      <c r="CE32" s="119"/>
      <c r="CF32" s="119"/>
      <c r="CG32" s="120"/>
    </row>
    <row r="33" spans="2:85" ht="18.5" x14ac:dyDescent="0.45">
      <c r="B33" s="76"/>
      <c r="C33" s="76"/>
      <c r="D33" s="76"/>
      <c r="E33" s="76"/>
      <c r="F33" s="76"/>
      <c r="H33" s="77" t="s">
        <v>156</v>
      </c>
      <c r="I33" s="78">
        <f>SUM(I27:I32)</f>
        <v>7740</v>
      </c>
      <c r="J33" s="41"/>
      <c r="K33" s="41"/>
      <c r="L33" s="41"/>
      <c r="M33" s="41"/>
      <c r="N33" s="41"/>
      <c r="O33" s="41"/>
      <c r="AZ33" s="9" t="s">
        <v>62</v>
      </c>
      <c r="BA33" s="9" t="s">
        <v>63</v>
      </c>
      <c r="BB33" s="9" t="s">
        <v>115</v>
      </c>
      <c r="BC33" s="9" t="s">
        <v>70</v>
      </c>
      <c r="BD33" s="9" t="s">
        <v>71</v>
      </c>
      <c r="BE33" s="9" t="s">
        <v>65</v>
      </c>
      <c r="CB33" s="111"/>
      <c r="CC33" s="112"/>
      <c r="CD33" s="112"/>
      <c r="CE33" s="112"/>
      <c r="CF33" s="44" t="s">
        <v>89</v>
      </c>
      <c r="CG33" s="45">
        <v>631</v>
      </c>
    </row>
    <row r="34" spans="2:85" x14ac:dyDescent="0.35">
      <c r="H34" s="2"/>
      <c r="I34" s="53"/>
      <c r="J34" s="41"/>
      <c r="K34" s="41"/>
      <c r="L34" s="41"/>
      <c r="M34" s="41"/>
      <c r="N34" s="41"/>
      <c r="O34" s="41"/>
      <c r="AZ34" s="79">
        <v>45688</v>
      </c>
      <c r="BA34" s="80" t="s">
        <v>136</v>
      </c>
      <c r="BB34" s="80" t="s">
        <v>122</v>
      </c>
      <c r="BC34" s="7"/>
      <c r="BD34" s="46">
        <f>F28</f>
        <v>50</v>
      </c>
      <c r="BE34" s="7">
        <f>BD34</f>
        <v>50</v>
      </c>
      <c r="CB34" s="9" t="s">
        <v>62</v>
      </c>
      <c r="CC34" s="9" t="s">
        <v>63</v>
      </c>
      <c r="CD34" s="9" t="s">
        <v>115</v>
      </c>
      <c r="CE34" s="9" t="s">
        <v>66</v>
      </c>
      <c r="CF34" s="9" t="s">
        <v>67</v>
      </c>
      <c r="CG34" s="9" t="s">
        <v>65</v>
      </c>
    </row>
    <row r="35" spans="2:85" x14ac:dyDescent="0.35">
      <c r="H35" s="37" t="s">
        <v>79</v>
      </c>
      <c r="I35" s="51">
        <f>I23-I24+I25-I33</f>
        <v>11560</v>
      </c>
      <c r="J35" s="41"/>
      <c r="K35" s="41"/>
      <c r="L35" s="41"/>
      <c r="M35" s="41"/>
      <c r="N35" s="41"/>
      <c r="O35" s="41"/>
      <c r="AZ35" s="7"/>
      <c r="BA35" s="7"/>
      <c r="BB35" s="7"/>
      <c r="BC35" s="7"/>
      <c r="BD35" s="7">
        <f>E28</f>
        <v>0</v>
      </c>
      <c r="BE35" s="7">
        <f>+BE34+BD35-BC35</f>
        <v>50</v>
      </c>
      <c r="CB35" s="79">
        <v>45688</v>
      </c>
      <c r="CC35" s="80" t="s">
        <v>136</v>
      </c>
      <c r="CD35" s="80" t="s">
        <v>122</v>
      </c>
      <c r="CE35" s="46">
        <f>E7</f>
        <v>1500</v>
      </c>
      <c r="CF35" s="7"/>
      <c r="CG35" s="7">
        <f>CE35</f>
        <v>1500</v>
      </c>
    </row>
    <row r="36" spans="2:85" ht="18.5" x14ac:dyDescent="0.45">
      <c r="H36" s="3" t="s">
        <v>77</v>
      </c>
      <c r="I36" s="52">
        <f>I35+I21</f>
        <v>21910</v>
      </c>
      <c r="J36" s="41"/>
      <c r="K36" s="41"/>
      <c r="L36" s="41"/>
      <c r="M36" s="41"/>
      <c r="N36" s="41"/>
      <c r="O36" s="41"/>
      <c r="AZ36" s="8"/>
      <c r="BA36" s="7"/>
      <c r="BB36" s="7"/>
      <c r="BC36" s="7"/>
      <c r="BD36" s="7"/>
      <c r="BE36" s="7">
        <f>+BE35+BD36-BC36</f>
        <v>50</v>
      </c>
      <c r="CB36" s="8"/>
      <c r="CC36" s="7"/>
      <c r="CD36" s="7"/>
      <c r="CE36" s="7"/>
      <c r="CF36" s="7"/>
      <c r="CG36" s="7">
        <f>CG35+CE36-CF36</f>
        <v>1500</v>
      </c>
    </row>
    <row r="37" spans="2:85" x14ac:dyDescent="0.35">
      <c r="I37" s="41"/>
      <c r="J37" s="41"/>
      <c r="K37" s="41"/>
      <c r="L37" s="41"/>
      <c r="M37" s="41"/>
      <c r="N37" s="41"/>
      <c r="O37" s="41"/>
      <c r="AZ37" s="8"/>
      <c r="BA37" s="7"/>
      <c r="BB37" s="7"/>
      <c r="BC37" s="7"/>
      <c r="BD37" s="7"/>
      <c r="BE37" s="7">
        <f>+BE36+BD37-BC37</f>
        <v>50</v>
      </c>
      <c r="CB37" s="8"/>
      <c r="CC37" s="7"/>
      <c r="CD37" s="7"/>
      <c r="CE37" s="7"/>
      <c r="CF37" s="7"/>
      <c r="CG37" s="7">
        <f>CG36+CE37-CF37</f>
        <v>1500</v>
      </c>
    </row>
    <row r="38" spans="2:85" x14ac:dyDescent="0.35">
      <c r="I38" s="41"/>
      <c r="J38" s="41"/>
      <c r="K38" s="41"/>
      <c r="L38" s="41"/>
      <c r="M38" s="41"/>
      <c r="N38" s="41"/>
      <c r="O38" s="41"/>
      <c r="CB38" s="8"/>
      <c r="CC38" s="7"/>
      <c r="CD38" s="7"/>
      <c r="CE38" s="7"/>
      <c r="CF38" s="7"/>
      <c r="CG38" s="7">
        <f>CG37+CE38-CF38</f>
        <v>1500</v>
      </c>
    </row>
    <row r="39" spans="2:85" x14ac:dyDescent="0.35">
      <c r="I39" s="41"/>
      <c r="J39" s="41"/>
      <c r="K39" s="41"/>
      <c r="L39" s="41"/>
      <c r="M39" s="41"/>
      <c r="N39" s="41"/>
      <c r="O39" s="41"/>
      <c r="AZ39" s="118" t="s">
        <v>165</v>
      </c>
      <c r="BA39" s="119"/>
      <c r="BB39" s="119"/>
      <c r="BC39" s="119"/>
      <c r="BD39" s="119"/>
      <c r="BE39" s="120"/>
      <c r="CB39" s="8"/>
      <c r="CC39" s="7"/>
      <c r="CD39" s="7"/>
      <c r="CE39" s="7"/>
      <c r="CF39" s="7"/>
      <c r="CG39" s="7">
        <f>CG38+CE39-CF39</f>
        <v>1500</v>
      </c>
    </row>
    <row r="40" spans="2:85" ht="18.5" x14ac:dyDescent="0.45">
      <c r="I40" s="41"/>
      <c r="J40" s="41"/>
      <c r="K40" s="41"/>
      <c r="L40" s="41"/>
      <c r="M40" s="41"/>
      <c r="N40" s="41"/>
      <c r="O40" s="41"/>
      <c r="AZ40" s="116"/>
      <c r="BA40" s="117"/>
      <c r="BB40" s="117"/>
      <c r="BC40" s="117"/>
      <c r="BD40" s="44" t="s">
        <v>89</v>
      </c>
      <c r="BE40" s="45">
        <v>212</v>
      </c>
    </row>
    <row r="41" spans="2:85" x14ac:dyDescent="0.35">
      <c r="I41" s="41"/>
      <c r="J41" s="41"/>
      <c r="K41" s="41"/>
      <c r="L41" s="41"/>
      <c r="M41" s="41"/>
      <c r="N41" s="41"/>
      <c r="O41" s="41"/>
      <c r="AZ41" s="9" t="s">
        <v>62</v>
      </c>
      <c r="BA41" s="9" t="s">
        <v>63</v>
      </c>
      <c r="BB41" s="9" t="s">
        <v>115</v>
      </c>
      <c r="BC41" s="9" t="s">
        <v>70</v>
      </c>
      <c r="BD41" s="9" t="s">
        <v>71</v>
      </c>
      <c r="BE41" s="9" t="s">
        <v>65</v>
      </c>
      <c r="CB41" s="118" t="s">
        <v>54</v>
      </c>
      <c r="CC41" s="119"/>
      <c r="CD41" s="119"/>
      <c r="CE41" s="119"/>
      <c r="CF41" s="119"/>
      <c r="CG41" s="120"/>
    </row>
    <row r="42" spans="2:85" ht="18.5" x14ac:dyDescent="0.45">
      <c r="I42" s="41"/>
      <c r="J42" s="41"/>
      <c r="K42" s="41"/>
      <c r="L42" s="41"/>
      <c r="M42" s="41"/>
      <c r="N42" s="41"/>
      <c r="O42" s="41"/>
      <c r="AZ42" s="79">
        <v>45688</v>
      </c>
      <c r="BA42" s="80" t="s">
        <v>136</v>
      </c>
      <c r="BB42" s="80" t="s">
        <v>122</v>
      </c>
      <c r="BC42" s="7"/>
      <c r="BD42" s="46">
        <f>F32</f>
        <v>1200</v>
      </c>
      <c r="BE42" s="7">
        <f>BD42</f>
        <v>1200</v>
      </c>
      <c r="CB42" s="111"/>
      <c r="CC42" s="112"/>
      <c r="CD42" s="112"/>
      <c r="CE42" s="112"/>
      <c r="CF42" s="44" t="s">
        <v>89</v>
      </c>
      <c r="CG42" s="45">
        <v>722</v>
      </c>
    </row>
    <row r="43" spans="2:85" x14ac:dyDescent="0.35">
      <c r="I43" s="41"/>
      <c r="J43" s="41"/>
      <c r="K43" s="41"/>
      <c r="L43" s="41"/>
      <c r="M43" s="41"/>
      <c r="N43" s="41"/>
      <c r="O43" s="41"/>
      <c r="AZ43" s="7"/>
      <c r="BA43" s="7"/>
      <c r="BB43" s="7"/>
      <c r="BC43" s="7"/>
      <c r="BD43" s="7">
        <f>E36</f>
        <v>0</v>
      </c>
      <c r="BE43" s="7">
        <f>+BE42+BD43-BC43</f>
        <v>1200</v>
      </c>
      <c r="CB43" s="9" t="s">
        <v>62</v>
      </c>
      <c r="CC43" s="9" t="s">
        <v>63</v>
      </c>
      <c r="CD43" s="9" t="s">
        <v>115</v>
      </c>
      <c r="CE43" s="9" t="s">
        <v>66</v>
      </c>
      <c r="CF43" s="9" t="s">
        <v>67</v>
      </c>
      <c r="CG43" s="9" t="s">
        <v>65</v>
      </c>
    </row>
    <row r="44" spans="2:85" x14ac:dyDescent="0.35">
      <c r="I44" s="41"/>
      <c r="J44" s="41"/>
      <c r="K44" s="41"/>
      <c r="L44" s="41"/>
      <c r="M44" s="41"/>
      <c r="N44" s="41"/>
      <c r="O44" s="41"/>
      <c r="AZ44" s="8"/>
      <c r="BA44" s="7"/>
      <c r="BB44" s="7"/>
      <c r="BC44" s="7"/>
      <c r="BD44" s="7"/>
      <c r="BE44" s="7">
        <f>+BE43+BD44-BC44</f>
        <v>1200</v>
      </c>
      <c r="CB44" s="79">
        <v>45688</v>
      </c>
      <c r="CC44" s="80" t="s">
        <v>136</v>
      </c>
      <c r="CD44" s="80" t="s">
        <v>122</v>
      </c>
      <c r="CE44" s="46">
        <f>E11</f>
        <v>50</v>
      </c>
      <c r="CF44" s="7"/>
      <c r="CG44" s="7">
        <f>CE44</f>
        <v>50</v>
      </c>
    </row>
    <row r="45" spans="2:85" x14ac:dyDescent="0.35">
      <c r="AZ45" s="8"/>
      <c r="BA45" s="7"/>
      <c r="BB45" s="7"/>
      <c r="BC45" s="7"/>
      <c r="BD45" s="7"/>
      <c r="BE45" s="7">
        <f>+BE44+BD45-BC45</f>
        <v>1200</v>
      </c>
      <c r="CB45" s="8"/>
      <c r="CC45" s="7"/>
      <c r="CD45" s="7"/>
      <c r="CE45" s="7"/>
      <c r="CF45" s="7"/>
      <c r="CG45" s="7">
        <f>CG44+CE45-CF45</f>
        <v>50</v>
      </c>
    </row>
    <row r="46" spans="2:85" ht="15" thickBot="1" x14ac:dyDescent="0.4">
      <c r="CB46" s="8"/>
      <c r="CC46" s="7"/>
      <c r="CD46" s="7"/>
      <c r="CE46" s="7"/>
      <c r="CF46" s="7"/>
      <c r="CG46" s="7">
        <f>CG45+CE46-CF46</f>
        <v>50</v>
      </c>
    </row>
    <row r="47" spans="2:85" ht="19" thickBot="1" x14ac:dyDescent="0.5">
      <c r="B47" s="125" t="s">
        <v>87</v>
      </c>
      <c r="C47" s="126"/>
      <c r="D47" s="97"/>
      <c r="E47" s="47" t="s">
        <v>97</v>
      </c>
      <c r="F47" s="48" t="s">
        <v>98</v>
      </c>
      <c r="CB47" s="8"/>
      <c r="CC47" s="7"/>
      <c r="CD47" s="7"/>
      <c r="CE47" s="7"/>
      <c r="CF47" s="7"/>
      <c r="CG47" s="7">
        <f>CG46+CE47-CF47</f>
        <v>50</v>
      </c>
    </row>
    <row r="48" spans="2:85" x14ac:dyDescent="0.35">
      <c r="B48" s="43" t="s">
        <v>62</v>
      </c>
      <c r="C48" s="43" t="s">
        <v>86</v>
      </c>
      <c r="D48" s="43" t="s">
        <v>64</v>
      </c>
      <c r="E48" s="43" t="s">
        <v>84</v>
      </c>
      <c r="F48" s="43" t="s">
        <v>85</v>
      </c>
      <c r="CB48" s="8"/>
      <c r="CC48" s="7"/>
      <c r="CD48" s="7"/>
      <c r="CE48" s="7"/>
      <c r="CF48" s="7"/>
      <c r="CG48" s="7">
        <f>CG47+CE48-CF48</f>
        <v>50</v>
      </c>
    </row>
    <row r="49" spans="2:85" x14ac:dyDescent="0.35">
      <c r="B49" s="74" t="s">
        <v>88</v>
      </c>
      <c r="C49" s="74" t="s">
        <v>6</v>
      </c>
      <c r="D49" s="13">
        <v>101</v>
      </c>
      <c r="E49" s="95">
        <v>10000</v>
      </c>
      <c r="F49" s="14"/>
    </row>
    <row r="50" spans="2:85" x14ac:dyDescent="0.35">
      <c r="B50" s="75"/>
      <c r="C50" s="75" t="s">
        <v>90</v>
      </c>
      <c r="D50" s="15">
        <v>301</v>
      </c>
      <c r="E50" s="75"/>
      <c r="F50" s="54">
        <v>10000</v>
      </c>
      <c r="CB50" s="118" t="s">
        <v>51</v>
      </c>
      <c r="CC50" s="119"/>
      <c r="CD50" s="119"/>
      <c r="CE50" s="119"/>
      <c r="CF50" s="119"/>
      <c r="CG50" s="120"/>
    </row>
    <row r="51" spans="2:85" ht="18.5" x14ac:dyDescent="0.45">
      <c r="B51" s="75"/>
      <c r="C51" s="75" t="s">
        <v>91</v>
      </c>
      <c r="D51" s="15"/>
      <c r="E51" s="75"/>
      <c r="F51" s="16"/>
      <c r="CB51" s="111"/>
      <c r="CC51" s="112"/>
      <c r="CD51" s="112"/>
      <c r="CE51" s="112"/>
      <c r="CF51" s="44" t="s">
        <v>89</v>
      </c>
      <c r="CG51" s="45">
        <v>711</v>
      </c>
    </row>
    <row r="52" spans="2:85" x14ac:dyDescent="0.35">
      <c r="B52" s="75"/>
      <c r="C52" s="75"/>
      <c r="D52" s="15"/>
      <c r="E52" s="75"/>
      <c r="F52" s="16"/>
      <c r="CB52" s="9" t="s">
        <v>62</v>
      </c>
      <c r="CC52" s="9" t="s">
        <v>63</v>
      </c>
      <c r="CD52" s="9" t="s">
        <v>115</v>
      </c>
      <c r="CE52" s="9" t="s">
        <v>66</v>
      </c>
      <c r="CF52" s="9" t="s">
        <v>67</v>
      </c>
      <c r="CG52" s="9" t="s">
        <v>65</v>
      </c>
    </row>
    <row r="53" spans="2:85" x14ac:dyDescent="0.35">
      <c r="B53" s="75">
        <v>1</v>
      </c>
      <c r="C53" s="75" t="s">
        <v>14</v>
      </c>
      <c r="D53" s="15">
        <v>157</v>
      </c>
      <c r="E53" s="96">
        <v>5000</v>
      </c>
      <c r="F53" s="16"/>
      <c r="CB53" s="79">
        <v>45688</v>
      </c>
      <c r="CC53" s="80" t="s">
        <v>136</v>
      </c>
      <c r="CD53" s="80" t="s">
        <v>122</v>
      </c>
      <c r="CE53" s="46">
        <f>E15</f>
        <v>40</v>
      </c>
      <c r="CF53" s="7"/>
      <c r="CG53" s="7">
        <f>CE53</f>
        <v>40</v>
      </c>
    </row>
    <row r="54" spans="2:85" x14ac:dyDescent="0.35">
      <c r="B54" s="75"/>
      <c r="C54" s="75" t="s">
        <v>92</v>
      </c>
      <c r="D54" s="15">
        <v>200</v>
      </c>
      <c r="E54" s="75"/>
      <c r="F54" s="54">
        <v>5000</v>
      </c>
      <c r="CB54" s="8"/>
      <c r="CC54" s="7"/>
      <c r="CD54" s="7"/>
      <c r="CE54" s="7"/>
      <c r="CF54" s="7"/>
      <c r="CG54" s="7">
        <f>CG53+CE54-CF54</f>
        <v>40</v>
      </c>
    </row>
    <row r="55" spans="2:85" x14ac:dyDescent="0.35">
      <c r="B55" s="75"/>
      <c r="C55" s="75" t="s">
        <v>93</v>
      </c>
      <c r="D55" s="15"/>
      <c r="E55" s="75"/>
      <c r="F55" s="16"/>
      <c r="CB55" s="8"/>
      <c r="CC55" s="7"/>
      <c r="CD55" s="7"/>
      <c r="CE55" s="7"/>
      <c r="CF55" s="7"/>
      <c r="CG55" s="7">
        <f>CG54+CE55-CF55</f>
        <v>40</v>
      </c>
    </row>
    <row r="56" spans="2:85" x14ac:dyDescent="0.35">
      <c r="B56" s="75"/>
      <c r="C56" s="75"/>
      <c r="D56" s="15"/>
      <c r="E56" s="75"/>
      <c r="F56" s="16"/>
      <c r="CB56" s="8"/>
      <c r="CC56" s="7"/>
      <c r="CD56" s="7"/>
      <c r="CE56" s="7"/>
      <c r="CF56" s="7"/>
      <c r="CG56" s="7">
        <f>CG55+CE56-CF56</f>
        <v>40</v>
      </c>
    </row>
    <row r="57" spans="2:85" x14ac:dyDescent="0.35">
      <c r="B57" s="75">
        <v>2</v>
      </c>
      <c r="C57" s="75" t="s">
        <v>6</v>
      </c>
      <c r="D57" s="15">
        <v>101</v>
      </c>
      <c r="E57" s="96">
        <v>1200</v>
      </c>
      <c r="F57" s="16"/>
      <c r="CB57" s="8"/>
      <c r="CC57" s="7"/>
      <c r="CD57" s="7"/>
      <c r="CE57" s="7"/>
      <c r="CF57" s="7"/>
      <c r="CG57" s="7">
        <f>CG56+CE57-CF57</f>
        <v>40</v>
      </c>
    </row>
    <row r="58" spans="2:85" x14ac:dyDescent="0.35">
      <c r="B58" s="75"/>
      <c r="C58" s="75" t="s">
        <v>95</v>
      </c>
      <c r="D58" s="15">
        <v>209</v>
      </c>
      <c r="E58" s="75"/>
      <c r="F58" s="54">
        <v>1200</v>
      </c>
    </row>
    <row r="59" spans="2:85" x14ac:dyDescent="0.35">
      <c r="B59" s="75"/>
      <c r="C59" s="75" t="s">
        <v>96</v>
      </c>
      <c r="D59" s="15"/>
      <c r="E59" s="75"/>
      <c r="F59" s="16"/>
      <c r="CB59" s="118" t="s">
        <v>127</v>
      </c>
      <c r="CC59" s="119"/>
      <c r="CD59" s="119"/>
      <c r="CE59" s="119"/>
      <c r="CF59" s="119"/>
      <c r="CG59" s="120"/>
    </row>
    <row r="60" spans="2:85" ht="18.5" x14ac:dyDescent="0.45">
      <c r="B60" s="75"/>
      <c r="C60" s="75"/>
      <c r="D60" s="15"/>
      <c r="E60" s="75"/>
      <c r="F60" s="16"/>
      <c r="CB60" s="114"/>
      <c r="CC60" s="115"/>
      <c r="CD60" s="115"/>
      <c r="CE60" s="115"/>
      <c r="CF60" s="44" t="s">
        <v>89</v>
      </c>
      <c r="CG60" s="45">
        <v>905</v>
      </c>
    </row>
    <row r="61" spans="2:85" x14ac:dyDescent="0.35">
      <c r="B61" s="75">
        <v>3</v>
      </c>
      <c r="C61" s="75" t="s">
        <v>82</v>
      </c>
      <c r="D61" s="15">
        <v>729</v>
      </c>
      <c r="E61" s="75">
        <v>900</v>
      </c>
      <c r="F61" s="16"/>
      <c r="CB61" s="9" t="s">
        <v>62</v>
      </c>
      <c r="CC61" s="9" t="s">
        <v>63</v>
      </c>
      <c r="CD61" s="9" t="s">
        <v>115</v>
      </c>
      <c r="CE61" s="9" t="s">
        <v>66</v>
      </c>
      <c r="CF61" s="9" t="s">
        <v>67</v>
      </c>
      <c r="CG61" s="9" t="s">
        <v>65</v>
      </c>
    </row>
    <row r="62" spans="2:85" x14ac:dyDescent="0.35">
      <c r="B62" s="75"/>
      <c r="C62" s="75" t="s">
        <v>99</v>
      </c>
      <c r="D62" s="15">
        <v>101</v>
      </c>
      <c r="E62" s="75"/>
      <c r="F62" s="16">
        <v>900</v>
      </c>
      <c r="CB62" s="79">
        <v>45688</v>
      </c>
      <c r="CC62" s="80" t="s">
        <v>136</v>
      </c>
      <c r="CD62" s="80" t="s">
        <v>122</v>
      </c>
      <c r="CE62" s="46">
        <f>E27</f>
        <v>50</v>
      </c>
      <c r="CF62" s="7"/>
      <c r="CG62" s="7">
        <f>CE62</f>
        <v>50</v>
      </c>
    </row>
    <row r="63" spans="2:85" x14ac:dyDescent="0.35">
      <c r="B63" s="75"/>
      <c r="C63" s="75" t="s">
        <v>100</v>
      </c>
      <c r="D63" s="15"/>
      <c r="E63" s="75"/>
      <c r="F63" s="16"/>
      <c r="CB63" s="8"/>
      <c r="CC63" s="7"/>
      <c r="CD63" s="7"/>
      <c r="CE63" s="7"/>
      <c r="CF63" s="7"/>
      <c r="CG63" s="7">
        <f>CG62+CE63-CF63</f>
        <v>50</v>
      </c>
    </row>
    <row r="64" spans="2:85" x14ac:dyDescent="0.35">
      <c r="B64" s="75"/>
      <c r="C64" s="75"/>
      <c r="D64" s="15"/>
      <c r="E64" s="75"/>
      <c r="F64" s="16"/>
      <c r="CB64" s="8"/>
      <c r="CC64" s="7"/>
      <c r="CD64" s="7"/>
      <c r="CE64" s="7"/>
      <c r="CF64" s="7"/>
      <c r="CG64" s="7">
        <f>CG63+CE64-CF64</f>
        <v>50</v>
      </c>
    </row>
    <row r="65" spans="2:85" x14ac:dyDescent="0.35">
      <c r="B65" s="75">
        <v>4</v>
      </c>
      <c r="C65" s="75" t="s">
        <v>101</v>
      </c>
      <c r="D65" s="15">
        <v>130</v>
      </c>
      <c r="E65" s="75">
        <v>600</v>
      </c>
      <c r="F65" s="16"/>
      <c r="CB65" s="8"/>
      <c r="CC65" s="7"/>
      <c r="CD65" s="7"/>
      <c r="CE65" s="7"/>
      <c r="CF65" s="7"/>
      <c r="CG65" s="7">
        <f>CG64+CE65-CF65</f>
        <v>50</v>
      </c>
    </row>
    <row r="66" spans="2:85" x14ac:dyDescent="0.35">
      <c r="B66" s="75"/>
      <c r="C66" s="75" t="s">
        <v>99</v>
      </c>
      <c r="D66" s="15">
        <v>101</v>
      </c>
      <c r="E66" s="75"/>
      <c r="F66" s="16">
        <v>600</v>
      </c>
      <c r="CB66" s="8"/>
      <c r="CC66" s="7"/>
      <c r="CD66" s="7"/>
      <c r="CE66" s="7"/>
      <c r="CF66" s="7"/>
      <c r="CG66" s="7">
        <f>CG65+CE66-CF66</f>
        <v>50</v>
      </c>
    </row>
    <row r="67" spans="2:85" x14ac:dyDescent="0.35">
      <c r="B67" s="75"/>
      <c r="C67" s="75" t="s">
        <v>102</v>
      </c>
      <c r="D67" s="15"/>
      <c r="E67" s="75"/>
      <c r="F67" s="16"/>
    </row>
    <row r="68" spans="2:85" x14ac:dyDescent="0.35">
      <c r="B68" s="75"/>
      <c r="C68" s="75"/>
      <c r="D68" s="15"/>
      <c r="E68" s="75"/>
      <c r="F68" s="16"/>
    </row>
    <row r="69" spans="2:85" x14ac:dyDescent="0.35">
      <c r="B69" s="75">
        <v>5</v>
      </c>
      <c r="C69" s="75" t="s">
        <v>11</v>
      </c>
      <c r="D69" s="15">
        <v>126</v>
      </c>
      <c r="E69" s="96">
        <v>2500</v>
      </c>
      <c r="F69" s="16"/>
    </row>
    <row r="70" spans="2:85" x14ac:dyDescent="0.35">
      <c r="B70" s="75"/>
      <c r="C70" s="75" t="s">
        <v>103</v>
      </c>
      <c r="D70" s="15">
        <v>101</v>
      </c>
      <c r="E70" s="75"/>
      <c r="F70" s="54">
        <v>2500</v>
      </c>
    </row>
    <row r="71" spans="2:85" x14ac:dyDescent="0.35">
      <c r="B71" s="75"/>
      <c r="C71" s="75" t="s">
        <v>102</v>
      </c>
      <c r="D71" s="15"/>
      <c r="E71" s="75"/>
      <c r="F71" s="16"/>
    </row>
    <row r="72" spans="2:85" x14ac:dyDescent="0.35">
      <c r="B72" s="75"/>
      <c r="C72" s="75"/>
      <c r="D72" s="15"/>
      <c r="E72" s="75"/>
      <c r="F72" s="16"/>
    </row>
    <row r="73" spans="2:85" x14ac:dyDescent="0.35">
      <c r="B73" s="75">
        <v>20</v>
      </c>
      <c r="C73" s="75" t="s">
        <v>73</v>
      </c>
      <c r="D73" s="15">
        <v>306</v>
      </c>
      <c r="E73" s="75">
        <v>500</v>
      </c>
      <c r="F73" s="16"/>
    </row>
    <row r="74" spans="2:85" x14ac:dyDescent="0.35">
      <c r="B74" s="75"/>
      <c r="C74" s="75" t="s">
        <v>99</v>
      </c>
      <c r="D74" s="15">
        <v>101</v>
      </c>
      <c r="E74" s="75"/>
      <c r="F74" s="16">
        <v>500</v>
      </c>
    </row>
    <row r="75" spans="2:85" x14ac:dyDescent="0.35">
      <c r="B75" s="75"/>
      <c r="C75" s="75" t="s">
        <v>104</v>
      </c>
      <c r="D75" s="15"/>
      <c r="E75" s="75"/>
      <c r="F75" s="16"/>
    </row>
    <row r="76" spans="2:85" x14ac:dyDescent="0.35">
      <c r="B76" s="75"/>
      <c r="C76" s="75"/>
      <c r="D76" s="15"/>
      <c r="E76" s="75"/>
      <c r="F76" s="16"/>
    </row>
    <row r="77" spans="2:85" x14ac:dyDescent="0.35">
      <c r="B77" s="75">
        <v>26</v>
      </c>
      <c r="C77" s="75" t="s">
        <v>59</v>
      </c>
      <c r="D77" s="15">
        <v>726</v>
      </c>
      <c r="E77" s="96">
        <v>4000</v>
      </c>
      <c r="F77" s="16"/>
    </row>
    <row r="78" spans="2:85" x14ac:dyDescent="0.35">
      <c r="B78" s="75"/>
      <c r="C78" s="75" t="s">
        <v>99</v>
      </c>
      <c r="D78" s="15">
        <v>101</v>
      </c>
      <c r="E78" s="75"/>
      <c r="F78" s="54">
        <v>4000</v>
      </c>
    </row>
    <row r="79" spans="2:85" x14ac:dyDescent="0.35">
      <c r="B79" s="75"/>
      <c r="C79" s="75" t="s">
        <v>105</v>
      </c>
      <c r="D79" s="15"/>
      <c r="E79" s="75"/>
      <c r="F79" s="16"/>
    </row>
    <row r="80" spans="2:85" x14ac:dyDescent="0.35">
      <c r="B80" s="75"/>
      <c r="C80" s="75"/>
      <c r="D80" s="15"/>
      <c r="E80" s="75"/>
      <c r="F80" s="16"/>
    </row>
    <row r="81" spans="2:6" x14ac:dyDescent="0.35">
      <c r="B81" s="75">
        <v>31</v>
      </c>
      <c r="C81" s="75" t="s">
        <v>6</v>
      </c>
      <c r="D81" s="15">
        <v>101</v>
      </c>
      <c r="E81" s="96">
        <v>10000</v>
      </c>
      <c r="F81" s="16"/>
    </row>
    <row r="82" spans="2:6" x14ac:dyDescent="0.35">
      <c r="B82" s="75"/>
      <c r="C82" s="75" t="s">
        <v>107</v>
      </c>
      <c r="D82" s="15">
        <v>400</v>
      </c>
      <c r="E82" s="75"/>
      <c r="F82" s="54">
        <v>10000</v>
      </c>
    </row>
    <row r="83" spans="2:6" x14ac:dyDescent="0.35">
      <c r="B83" s="75"/>
      <c r="C83" s="75" t="s">
        <v>105</v>
      </c>
      <c r="D83" s="15"/>
      <c r="E83" s="75"/>
      <c r="F83" s="16"/>
    </row>
    <row r="84" spans="2:6" x14ac:dyDescent="0.35">
      <c r="B84" s="76"/>
      <c r="C84" s="76"/>
      <c r="D84" s="20"/>
      <c r="E84" s="76"/>
      <c r="F84" s="55"/>
    </row>
  </sheetData>
  <mergeCells count="29">
    <mergeCell ref="CB50:CG50"/>
    <mergeCell ref="CB59:CG59"/>
    <mergeCell ref="AZ31:BE31"/>
    <mergeCell ref="AS4:AX4"/>
    <mergeCell ref="Q2:AX2"/>
    <mergeCell ref="AZ2:BE2"/>
    <mergeCell ref="BG2:CG2"/>
    <mergeCell ref="AZ13:BE13"/>
    <mergeCell ref="CB13:CG13"/>
    <mergeCell ref="AZ22:BE22"/>
    <mergeCell ref="BG4:BL4"/>
    <mergeCell ref="BN4:BS4"/>
    <mergeCell ref="Q4:V4"/>
    <mergeCell ref="AE4:AJ4"/>
    <mergeCell ref="AS13:AX13"/>
    <mergeCell ref="AL4:AQ4"/>
    <mergeCell ref="AZ39:BE39"/>
    <mergeCell ref="B47:C47"/>
    <mergeCell ref="AZ4:BE4"/>
    <mergeCell ref="BU4:BZ4"/>
    <mergeCell ref="CB4:CG4"/>
    <mergeCell ref="CB22:CG22"/>
    <mergeCell ref="CB32:CG32"/>
    <mergeCell ref="CB41:CG41"/>
    <mergeCell ref="N7:N27"/>
    <mergeCell ref="K5:O5"/>
    <mergeCell ref="K4:O4"/>
    <mergeCell ref="B4:D4"/>
    <mergeCell ref="X4:AC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6" workbookViewId="0">
      <selection activeCell="G52" sqref="G52"/>
    </sheetView>
  </sheetViews>
  <sheetFormatPr defaultRowHeight="14.5" x14ac:dyDescent="0.35"/>
  <cols>
    <col min="1" max="16384" width="8.7265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2 Recording Process</vt:lpstr>
      <vt:lpstr>3 Adjusting the Accounts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2026-02-11T14:15:10Z</dcterms:modified>
</cp:coreProperties>
</file>
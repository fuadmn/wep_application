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I13" i="1"/>
  <c r="F47" i="1"/>
  <c r="E47" i="1"/>
  <c r="BB22" i="1" l="1"/>
  <c r="BC22" i="1" s="1"/>
  <c r="BC23" i="1" s="1"/>
  <c r="Y8" i="1" l="1"/>
  <c r="AF8" i="1"/>
  <c r="AH8" i="1" s="1"/>
  <c r="S9" i="1"/>
  <c r="AG10" i="1"/>
  <c r="BI11" i="1"/>
  <c r="Y14" i="1"/>
  <c r="BB17" i="1"/>
  <c r="BH10" i="1"/>
  <c r="Y13" i="1"/>
  <c r="AG9" i="1"/>
  <c r="BB16" i="1"/>
  <c r="BC16" i="1" s="1"/>
  <c r="BC17" i="1" s="1"/>
  <c r="M15" i="1" s="1"/>
  <c r="Z12" i="1"/>
  <c r="BH9" i="1"/>
  <c r="BJ9" i="1" s="1"/>
  <c r="BB8" i="1"/>
  <c r="BC8" i="1" s="1"/>
  <c r="BC9" i="1" s="1"/>
  <c r="M14" i="1" s="1"/>
  <c r="BI9" i="1"/>
  <c r="Z11" i="1"/>
  <c r="AM10" i="1"/>
  <c r="AH9" i="1" l="1"/>
  <c r="AH10" i="1" s="1"/>
  <c r="AH11" i="1" s="1"/>
  <c r="M7" i="1" s="1"/>
  <c r="BJ10" i="1"/>
  <c r="M17" i="1" s="1"/>
  <c r="M18" i="1" s="1"/>
  <c r="AM9" i="1"/>
  <c r="Z10" i="1"/>
  <c r="S8" i="1"/>
  <c r="T8" i="1" s="1"/>
  <c r="T9" i="1" s="1"/>
  <c r="M6" i="1" s="1"/>
  <c r="Y9" i="1"/>
  <c r="AU8" i="1" l="1"/>
  <c r="AV8" i="1" s="1"/>
  <c r="AV9" i="1" s="1"/>
  <c r="AN8" i="1"/>
  <c r="AO8" i="1" s="1"/>
  <c r="AO9" i="1" s="1"/>
  <c r="AA8" i="1"/>
  <c r="AA9" i="1" s="1"/>
  <c r="AA10" i="1" s="1"/>
  <c r="AA11" i="1" s="1"/>
  <c r="AA12" i="1" s="1"/>
  <c r="AA13" i="1" s="1"/>
  <c r="AA14" i="1" s="1"/>
  <c r="AA15" i="1" s="1"/>
  <c r="M8" i="1" l="1"/>
  <c r="M9" i="1" s="1"/>
  <c r="AO10" i="1"/>
  <c r="AO11" i="1" s="1"/>
  <c r="AO12" i="1" s="1"/>
  <c r="AO13" i="1" s="1"/>
  <c r="AO14" i="1" s="1"/>
  <c r="AO15" i="1" s="1"/>
  <c r="M11" i="1" s="1"/>
  <c r="M12" i="1" s="1"/>
</calcChain>
</file>

<file path=xl/sharedStrings.xml><?xml version="1.0" encoding="utf-8"?>
<sst xmlns="http://schemas.openxmlformats.org/spreadsheetml/2006/main" count="143" uniqueCount="52">
  <si>
    <t>Assets</t>
  </si>
  <si>
    <t>=</t>
  </si>
  <si>
    <t>liability</t>
  </si>
  <si>
    <t>+</t>
  </si>
  <si>
    <t>Owner's Equity</t>
  </si>
  <si>
    <t>Date</t>
  </si>
  <si>
    <t>Debit</t>
  </si>
  <si>
    <t>Credit</t>
  </si>
  <si>
    <t>Explanation</t>
  </si>
  <si>
    <t>GENERAL JOURNAL</t>
  </si>
  <si>
    <t>Ref.</t>
  </si>
  <si>
    <t>PAGE J1</t>
  </si>
  <si>
    <t>Owner's Capital</t>
  </si>
  <si>
    <t>Debit +</t>
  </si>
  <si>
    <t>Balance</t>
  </si>
  <si>
    <t>Debit -</t>
  </si>
  <si>
    <t>Credit +</t>
  </si>
  <si>
    <t>Account Payable</t>
  </si>
  <si>
    <t>Intontory</t>
  </si>
  <si>
    <r>
      <t xml:space="preserve">Invioce No:  </t>
    </r>
    <r>
      <rPr>
        <sz val="11"/>
        <color theme="5"/>
        <rFont val="Calibri"/>
        <family val="2"/>
        <scheme val="minor"/>
      </rPr>
      <t>0001</t>
    </r>
  </si>
  <si>
    <r>
      <t xml:space="preserve">Credit </t>
    </r>
    <r>
      <rPr>
        <b/>
        <sz val="12"/>
        <color theme="1"/>
        <rFont val="Calibri"/>
        <family val="2"/>
        <scheme val="minor"/>
      </rPr>
      <t>-</t>
    </r>
  </si>
  <si>
    <t xml:space="preserve">    Inventory</t>
  </si>
  <si>
    <t xml:space="preserve">Total Assets </t>
  </si>
  <si>
    <t xml:space="preserve">Total liability </t>
  </si>
  <si>
    <t>Total Owner's Equity</t>
  </si>
  <si>
    <t>(To record goods purchased on account from PW Auto Suppy)</t>
  </si>
  <si>
    <t>Inventory</t>
  </si>
  <si>
    <t xml:space="preserve">   Cash</t>
  </si>
  <si>
    <t>(To record payment of freight on goods sold)</t>
  </si>
  <si>
    <t>Cash</t>
  </si>
  <si>
    <t>Accounts Payable</t>
  </si>
  <si>
    <t>(To record return of Goods Purchased from Pw Audio Supply)</t>
  </si>
  <si>
    <t>Acconts Payable</t>
  </si>
  <si>
    <t xml:space="preserve">     Cash</t>
  </si>
  <si>
    <t>(To record payment with no discount taken)</t>
  </si>
  <si>
    <t>(To record payment with no discount period)</t>
  </si>
  <si>
    <t xml:space="preserve">     Invontory</t>
  </si>
  <si>
    <t>Account Reacivable</t>
  </si>
  <si>
    <t xml:space="preserve">    Sales</t>
  </si>
  <si>
    <t>Cost of Goods Sold</t>
  </si>
  <si>
    <t>Expenses</t>
  </si>
  <si>
    <t>Credit -</t>
  </si>
  <si>
    <t>Sales</t>
  </si>
  <si>
    <t>Sales Retuns and Allowances</t>
  </si>
  <si>
    <t xml:space="preserve">    Account Reacivable</t>
  </si>
  <si>
    <t xml:space="preserve">      Inventory</t>
  </si>
  <si>
    <t xml:space="preserve">Sales </t>
  </si>
  <si>
    <t xml:space="preserve">   Cost of Goods Sold</t>
  </si>
  <si>
    <t xml:space="preserve">    Sales Discounts</t>
  </si>
  <si>
    <t>Sales Discounts</t>
  </si>
  <si>
    <t>Account</t>
  </si>
  <si>
    <t>Trial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</si>
</sst>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16" fontId="0" fillId="2" borderId="4" xfId="0" applyNumberFormat="1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2" fillId="2" borderId="6" xfId="0" applyFont="1" applyFill="1" applyBorder="1"/>
    <xf numFmtId="0" fontId="2" fillId="2" borderId="9" xfId="0" applyFont="1" applyFill="1" applyBorder="1"/>
    <xf numFmtId="0" fontId="2" fillId="2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0" fillId="2" borderId="0" xfId="0" applyFill="1"/>
    <xf numFmtId="0" fontId="2" fillId="2" borderId="1" xfId="0" applyFont="1" applyFill="1" applyBorder="1"/>
    <xf numFmtId="0" fontId="2" fillId="2" borderId="0" xfId="0" applyFont="1" applyFill="1" applyBorder="1" applyAlignment="1"/>
    <xf numFmtId="0" fontId="2" fillId="2" borderId="0" xfId="0" applyFont="1" applyFill="1" applyBorder="1"/>
    <xf numFmtId="0" fontId="2" fillId="2" borderId="4" xfId="0" applyFont="1" applyFill="1" applyBorder="1" applyAlignment="1"/>
    <xf numFmtId="0" fontId="0" fillId="2" borderId="0" xfId="0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6" fillId="2" borderId="0" xfId="0" applyFont="1" applyFill="1"/>
    <xf numFmtId="0" fontId="0" fillId="2" borderId="0" xfId="0" applyFill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8" xfId="0" applyFont="1" applyFill="1" applyBorder="1"/>
    <xf numFmtId="0" fontId="2" fillId="2" borderId="0" xfId="0" applyFont="1" applyFill="1"/>
    <xf numFmtId="0" fontId="2" fillId="2" borderId="11" xfId="0" applyFont="1" applyFill="1" applyBorder="1"/>
    <xf numFmtId="0" fontId="0" fillId="2" borderId="8" xfId="0" applyFill="1" applyBorder="1" applyAlignment="1">
      <alignment horizontal="left"/>
    </xf>
    <xf numFmtId="0" fontId="4" fillId="2" borderId="3" xfId="0" applyFont="1" applyFill="1" applyBorder="1"/>
    <xf numFmtId="0" fontId="4" fillId="2" borderId="13" xfId="0" applyFont="1" applyFill="1" applyBorder="1"/>
    <xf numFmtId="16" fontId="0" fillId="2" borderId="5" xfId="0" applyNumberFormat="1" applyFill="1" applyBorder="1"/>
    <xf numFmtId="0" fontId="0" fillId="2" borderId="0" xfId="0" applyFill="1" applyBorder="1"/>
    <xf numFmtId="0" fontId="4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2" borderId="0" xfId="0" applyFont="1" applyFill="1" applyBorder="1"/>
    <xf numFmtId="0" fontId="7" fillId="4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J47"/>
  <sheetViews>
    <sheetView tabSelected="1" zoomScale="75" zoomScaleNormal="75" workbookViewId="0">
      <selection activeCell="H22" sqref="H22"/>
    </sheetView>
  </sheetViews>
  <sheetFormatPr defaultRowHeight="15" x14ac:dyDescent="0.25"/>
  <cols>
    <col min="1" max="1" width="3.85546875" style="1" customWidth="1"/>
    <col min="2" max="2" width="8" style="1" bestFit="1" customWidth="1"/>
    <col min="3" max="3" width="56.7109375" style="1" bestFit="1" customWidth="1"/>
    <col min="4" max="4" width="4.5703125" style="1" bestFit="1" customWidth="1"/>
    <col min="5" max="6" width="9.140625" style="1"/>
    <col min="7" max="7" width="9.140625" style="22"/>
    <col min="8" max="8" width="27.7109375" style="22" bestFit="1" customWidth="1"/>
    <col min="9" max="10" width="9.140625" style="22"/>
    <col min="11" max="11" width="2.5703125" style="1" customWidth="1"/>
    <col min="12" max="12" width="27" style="1" bestFit="1" customWidth="1"/>
    <col min="13" max="13" width="6.5703125" style="1" bestFit="1" customWidth="1"/>
    <col min="14" max="14" width="3" style="22" customWidth="1"/>
    <col min="15" max="15" width="5.85546875" style="22" customWidth="1"/>
    <col min="16" max="16" width="11.42578125" style="22" bestFit="1" customWidth="1"/>
    <col min="17" max="17" width="5.85546875" style="22" customWidth="1"/>
    <col min="18" max="18" width="7.28515625" style="22" bestFit="1" customWidth="1"/>
    <col min="19" max="19" width="7.5703125" style="22" bestFit="1" customWidth="1"/>
    <col min="20" max="20" width="16.28515625" style="22" bestFit="1" customWidth="1"/>
    <col min="21" max="21" width="1.7109375" style="1" customWidth="1"/>
    <col min="22" max="22" width="5.140625" style="1" bestFit="1" customWidth="1"/>
    <col min="23" max="23" width="11.42578125" style="14" bestFit="1" customWidth="1"/>
    <col min="24" max="24" width="4.5703125" style="1" bestFit="1" customWidth="1"/>
    <col min="25" max="25" width="7.28515625" style="1" bestFit="1" customWidth="1"/>
    <col min="26" max="26" width="7.5703125" style="1" bestFit="1" customWidth="1"/>
    <col min="27" max="27" width="16.28515625" style="1" bestFit="1" customWidth="1"/>
    <col min="28" max="28" width="3.42578125" style="22" customWidth="1"/>
    <col min="29" max="29" width="5.140625" style="22" bestFit="1" customWidth="1"/>
    <col min="30" max="30" width="11.42578125" style="22" bestFit="1" customWidth="1"/>
    <col min="31" max="31" width="4.5703125" style="22" bestFit="1" customWidth="1"/>
    <col min="32" max="32" width="7.28515625" style="22" bestFit="1" customWidth="1"/>
    <col min="33" max="33" width="7.5703125" style="22" bestFit="1" customWidth="1"/>
    <col min="34" max="34" width="16.28515625" style="22" customWidth="1"/>
    <col min="35" max="35" width="2.5703125" style="1" bestFit="1" customWidth="1"/>
    <col min="36" max="36" width="5.140625" style="1" bestFit="1" customWidth="1"/>
    <col min="37" max="37" width="11.42578125" style="1" bestFit="1" customWidth="1"/>
    <col min="38" max="38" width="4.5703125" style="1" bestFit="1" customWidth="1"/>
    <col min="39" max="40" width="9.140625" style="1"/>
    <col min="41" max="41" width="16.28515625" style="1" bestFit="1" customWidth="1"/>
    <col min="42" max="42" width="2.5703125" style="1" bestFit="1" customWidth="1"/>
    <col min="43" max="43" width="5.140625" style="1" bestFit="1" customWidth="1"/>
    <col min="44" max="44" width="11.42578125" style="1" bestFit="1" customWidth="1"/>
    <col min="45" max="45" width="4.5703125" style="1" bestFit="1" customWidth="1"/>
    <col min="46" max="46" width="7" style="1" bestFit="1" customWidth="1"/>
    <col min="47" max="47" width="7.85546875" style="1" bestFit="1" customWidth="1"/>
    <col min="48" max="48" width="16.28515625" style="1" bestFit="1" customWidth="1"/>
    <col min="49" max="49" width="2.28515625" style="1" customWidth="1"/>
    <col min="50" max="50" width="9.140625" style="1"/>
    <col min="51" max="51" width="11.42578125" style="1" bestFit="1" customWidth="1"/>
    <col min="52" max="52" width="4.5703125" style="1" bestFit="1" customWidth="1"/>
    <col min="53" max="54" width="9.140625" style="1"/>
    <col min="55" max="55" width="16.28515625" style="1" bestFit="1" customWidth="1"/>
    <col min="56" max="56" width="2.42578125" style="1" customWidth="1"/>
    <col min="57" max="57" width="5.140625" style="1" bestFit="1" customWidth="1"/>
    <col min="58" max="58" width="11.42578125" style="1" bestFit="1" customWidth="1"/>
    <col min="59" max="59" width="4.5703125" style="1" bestFit="1" customWidth="1"/>
    <col min="60" max="61" width="9.140625" style="1"/>
    <col min="62" max="62" width="16.28515625" style="1" bestFit="1" customWidth="1"/>
    <col min="63" max="16384" width="9.140625" style="1"/>
  </cols>
  <sheetData>
    <row r="1" spans="2:62" ht="15.75" thickBot="1" x14ac:dyDescent="0.3"/>
    <row r="2" spans="2:62" ht="16.5" thickBot="1" x14ac:dyDescent="0.3">
      <c r="B2" s="11"/>
      <c r="C2" s="38" t="s">
        <v>9</v>
      </c>
      <c r="D2" s="12"/>
      <c r="E2" s="12"/>
      <c r="F2" s="13" t="s">
        <v>11</v>
      </c>
      <c r="G2" s="44"/>
      <c r="H2" s="45" t="s">
        <v>51</v>
      </c>
      <c r="I2" s="46"/>
      <c r="J2" s="47"/>
    </row>
    <row r="3" spans="2:62" ht="19.5" thickBot="1" x14ac:dyDescent="0.35">
      <c r="B3" s="8" t="s">
        <v>5</v>
      </c>
      <c r="C3" s="9" t="s">
        <v>8</v>
      </c>
      <c r="D3" s="8" t="s">
        <v>10</v>
      </c>
      <c r="E3" s="10" t="s">
        <v>6</v>
      </c>
      <c r="F3" s="8" t="s">
        <v>7</v>
      </c>
      <c r="G3" s="17"/>
      <c r="H3" s="8" t="s">
        <v>50</v>
      </c>
      <c r="I3" s="8" t="s">
        <v>6</v>
      </c>
      <c r="J3" s="8" t="s">
        <v>7</v>
      </c>
      <c r="O3" s="43" t="s">
        <v>0</v>
      </c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20" t="s">
        <v>1</v>
      </c>
      <c r="AJ3" s="43" t="s">
        <v>2</v>
      </c>
      <c r="AK3" s="43"/>
      <c r="AL3" s="43"/>
      <c r="AM3" s="43"/>
      <c r="AN3" s="43"/>
      <c r="AO3" s="43"/>
      <c r="AP3" s="21" t="s">
        <v>3</v>
      </c>
      <c r="AQ3" s="43" t="s">
        <v>4</v>
      </c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</row>
    <row r="4" spans="2:62" x14ac:dyDescent="0.25">
      <c r="B4" s="2">
        <v>46146</v>
      </c>
      <c r="C4" s="1" t="s">
        <v>17</v>
      </c>
      <c r="D4" s="3"/>
      <c r="E4" s="1">
        <v>3800</v>
      </c>
      <c r="F4" s="4"/>
      <c r="G4" s="35"/>
      <c r="H4" s="4" t="s">
        <v>17</v>
      </c>
      <c r="I4" s="4"/>
      <c r="J4" s="4"/>
      <c r="V4" s="7"/>
      <c r="W4" s="7"/>
      <c r="X4" s="7"/>
      <c r="Y4" s="7"/>
      <c r="AI4" s="29"/>
      <c r="AY4" s="22"/>
    </row>
    <row r="5" spans="2:62" x14ac:dyDescent="0.25">
      <c r="B5" s="3"/>
      <c r="C5" s="1" t="s">
        <v>21</v>
      </c>
      <c r="D5" s="3"/>
      <c r="F5" s="3">
        <v>3800</v>
      </c>
      <c r="G5" s="35"/>
      <c r="H5" s="3" t="s">
        <v>21</v>
      </c>
      <c r="I5" s="3"/>
      <c r="J5" s="3"/>
      <c r="L5" s="30" t="s">
        <v>0</v>
      </c>
      <c r="M5" s="26"/>
      <c r="N5" s="35"/>
      <c r="O5" s="39" t="s">
        <v>29</v>
      </c>
      <c r="P5" s="39"/>
      <c r="Q5" s="39"/>
      <c r="R5" s="39"/>
      <c r="S5" s="39"/>
      <c r="T5" s="39"/>
      <c r="V5" s="39" t="s">
        <v>18</v>
      </c>
      <c r="W5" s="39"/>
      <c r="X5" s="39"/>
      <c r="Y5" s="39"/>
      <c r="Z5" s="39"/>
      <c r="AA5" s="39"/>
      <c r="AB5" s="37"/>
      <c r="AC5" s="39" t="s">
        <v>37</v>
      </c>
      <c r="AD5" s="39"/>
      <c r="AE5" s="39"/>
      <c r="AF5" s="39"/>
      <c r="AG5" s="39"/>
      <c r="AH5" s="39"/>
      <c r="AI5" s="19"/>
      <c r="AJ5" s="39" t="s">
        <v>17</v>
      </c>
      <c r="AK5" s="39"/>
      <c r="AL5" s="39"/>
      <c r="AM5" s="39"/>
      <c r="AN5" s="39"/>
      <c r="AO5" s="39"/>
      <c r="AQ5" s="39" t="s">
        <v>12</v>
      </c>
      <c r="AR5" s="39"/>
      <c r="AS5" s="39"/>
      <c r="AT5" s="39"/>
      <c r="AU5" s="39"/>
      <c r="AV5" s="39"/>
      <c r="AX5" s="39" t="s">
        <v>46</v>
      </c>
      <c r="AY5" s="39"/>
      <c r="AZ5" s="39"/>
      <c r="BA5" s="39"/>
      <c r="BB5" s="39"/>
      <c r="BC5" s="39"/>
      <c r="BE5" s="39" t="s">
        <v>40</v>
      </c>
      <c r="BF5" s="39"/>
      <c r="BG5" s="39"/>
      <c r="BH5" s="39"/>
      <c r="BI5" s="39"/>
      <c r="BJ5" s="39"/>
    </row>
    <row r="6" spans="2:62" x14ac:dyDescent="0.25">
      <c r="B6" s="3"/>
      <c r="C6" s="1" t="s">
        <v>25</v>
      </c>
      <c r="D6" s="3"/>
      <c r="F6" s="3"/>
      <c r="G6" s="35"/>
      <c r="H6" s="3" t="s">
        <v>32</v>
      </c>
      <c r="I6" s="3"/>
      <c r="J6" s="3"/>
      <c r="L6" s="23" t="s">
        <v>29</v>
      </c>
      <c r="M6" s="27">
        <f>T9</f>
        <v>-3280</v>
      </c>
      <c r="N6" s="35"/>
      <c r="O6" s="40"/>
      <c r="P6" s="41"/>
      <c r="Q6" s="41"/>
      <c r="R6" s="41"/>
      <c r="S6" s="42"/>
      <c r="T6" s="18" t="s">
        <v>19</v>
      </c>
      <c r="V6" s="40"/>
      <c r="W6" s="41"/>
      <c r="X6" s="41"/>
      <c r="Y6" s="41"/>
      <c r="Z6" s="42"/>
      <c r="AA6" s="18" t="s">
        <v>19</v>
      </c>
      <c r="AB6" s="16"/>
      <c r="AC6" s="40"/>
      <c r="AD6" s="41"/>
      <c r="AE6" s="41"/>
      <c r="AF6" s="41"/>
      <c r="AG6" s="42"/>
      <c r="AH6" s="18" t="s">
        <v>19</v>
      </c>
      <c r="AI6" s="16"/>
      <c r="AJ6" s="40"/>
      <c r="AK6" s="41"/>
      <c r="AL6" s="41"/>
      <c r="AM6" s="41"/>
      <c r="AN6" s="42"/>
      <c r="AO6" s="18" t="s">
        <v>19</v>
      </c>
      <c r="AQ6" s="40"/>
      <c r="AR6" s="41"/>
      <c r="AS6" s="41"/>
      <c r="AT6" s="41"/>
      <c r="AU6" s="42"/>
      <c r="AV6" s="18" t="s">
        <v>19</v>
      </c>
      <c r="AX6" s="40"/>
      <c r="AY6" s="41"/>
      <c r="AZ6" s="41"/>
      <c r="BA6" s="41"/>
      <c r="BB6" s="42"/>
      <c r="BC6" s="18" t="s">
        <v>19</v>
      </c>
      <c r="BE6" s="39" t="s">
        <v>39</v>
      </c>
      <c r="BF6" s="39"/>
      <c r="BG6" s="39"/>
      <c r="BH6" s="39"/>
      <c r="BI6" s="39"/>
      <c r="BJ6" s="39"/>
    </row>
    <row r="7" spans="2:62" ht="15.75" x14ac:dyDescent="0.25">
      <c r="B7" s="3"/>
      <c r="D7" s="3"/>
      <c r="F7" s="3"/>
      <c r="G7" s="35"/>
      <c r="H7" s="3" t="s">
        <v>33</v>
      </c>
      <c r="I7" s="3"/>
      <c r="J7" s="3"/>
      <c r="L7" s="23" t="s">
        <v>37</v>
      </c>
      <c r="M7" s="27">
        <f>AH11</f>
        <v>3200</v>
      </c>
      <c r="N7" s="36"/>
      <c r="O7" s="25" t="s">
        <v>5</v>
      </c>
      <c r="P7" s="25" t="s">
        <v>8</v>
      </c>
      <c r="Q7" s="25" t="s">
        <v>10</v>
      </c>
      <c r="R7" s="25" t="s">
        <v>13</v>
      </c>
      <c r="S7" s="25" t="s">
        <v>20</v>
      </c>
      <c r="T7" s="25" t="s">
        <v>14</v>
      </c>
      <c r="V7" s="15" t="s">
        <v>5</v>
      </c>
      <c r="W7" s="15" t="s">
        <v>8</v>
      </c>
      <c r="X7" s="15" t="s">
        <v>10</v>
      </c>
      <c r="Y7" s="15" t="s">
        <v>13</v>
      </c>
      <c r="Z7" s="15" t="s">
        <v>20</v>
      </c>
      <c r="AA7" s="15" t="s">
        <v>14</v>
      </c>
      <c r="AB7" s="17"/>
      <c r="AC7" s="25" t="s">
        <v>5</v>
      </c>
      <c r="AD7" s="25" t="s">
        <v>8</v>
      </c>
      <c r="AE7" s="25" t="s">
        <v>10</v>
      </c>
      <c r="AF7" s="25" t="s">
        <v>13</v>
      </c>
      <c r="AG7" s="25" t="s">
        <v>20</v>
      </c>
      <c r="AH7" s="25" t="s">
        <v>14</v>
      </c>
      <c r="AI7" s="17"/>
      <c r="AJ7" s="15" t="s">
        <v>5</v>
      </c>
      <c r="AK7" s="15" t="s">
        <v>8</v>
      </c>
      <c r="AL7" s="15" t="s">
        <v>10</v>
      </c>
      <c r="AM7" s="15" t="s">
        <v>15</v>
      </c>
      <c r="AN7" s="15" t="s">
        <v>16</v>
      </c>
      <c r="AO7" s="15" t="s">
        <v>14</v>
      </c>
      <c r="AQ7" s="25" t="s">
        <v>5</v>
      </c>
      <c r="AR7" s="25" t="s">
        <v>8</v>
      </c>
      <c r="AS7" s="25" t="s">
        <v>10</v>
      </c>
      <c r="AT7" s="25" t="s">
        <v>15</v>
      </c>
      <c r="AU7" s="25" t="s">
        <v>16</v>
      </c>
      <c r="AV7" s="25" t="s">
        <v>14</v>
      </c>
      <c r="AX7" s="25" t="s">
        <v>5</v>
      </c>
      <c r="AY7" s="25" t="s">
        <v>8</v>
      </c>
      <c r="AZ7" s="25" t="s">
        <v>10</v>
      </c>
      <c r="BA7" s="25" t="s">
        <v>15</v>
      </c>
      <c r="BB7" s="25" t="s">
        <v>16</v>
      </c>
      <c r="BC7" s="25" t="s">
        <v>14</v>
      </c>
      <c r="BE7" s="40"/>
      <c r="BF7" s="41"/>
      <c r="BG7" s="41"/>
      <c r="BH7" s="41"/>
      <c r="BI7" s="42"/>
      <c r="BJ7" s="18" t="s">
        <v>19</v>
      </c>
    </row>
    <row r="8" spans="2:62" x14ac:dyDescent="0.25">
      <c r="B8" s="34">
        <v>46148</v>
      </c>
      <c r="C8" s="22" t="s">
        <v>26</v>
      </c>
      <c r="D8" s="3"/>
      <c r="E8" s="1">
        <v>150</v>
      </c>
      <c r="F8" s="3"/>
      <c r="G8" s="35"/>
      <c r="H8" s="3" t="s">
        <v>37</v>
      </c>
      <c r="I8" s="3"/>
      <c r="J8" s="3"/>
      <c r="L8" s="31" t="s">
        <v>18</v>
      </c>
      <c r="M8" s="27">
        <f>AA15</f>
        <v>1370</v>
      </c>
      <c r="N8" s="35"/>
      <c r="S8" s="22">
        <f>F9</f>
        <v>150</v>
      </c>
      <c r="T8" s="22">
        <f>S8</f>
        <v>150</v>
      </c>
      <c r="V8" s="7"/>
      <c r="W8" s="7"/>
      <c r="X8" s="7"/>
      <c r="Y8" s="7">
        <f>E4</f>
        <v>3800</v>
      </c>
      <c r="AA8" s="1">
        <f>Y8</f>
        <v>3800</v>
      </c>
      <c r="AF8" s="22">
        <f>E25</f>
        <v>3800</v>
      </c>
      <c r="AH8" s="22">
        <f>AF8</f>
        <v>3800</v>
      </c>
      <c r="AI8" s="14"/>
      <c r="AN8" s="1">
        <f>F5</f>
        <v>3800</v>
      </c>
      <c r="AO8" s="1">
        <f>AN8</f>
        <v>3800</v>
      </c>
      <c r="AQ8" s="22"/>
      <c r="AR8" s="22"/>
      <c r="AS8" s="22"/>
      <c r="AT8" s="22"/>
      <c r="AU8" s="22">
        <f>AA5</f>
        <v>0</v>
      </c>
      <c r="AV8" s="22">
        <f>AU8</f>
        <v>0</v>
      </c>
      <c r="AX8" s="22"/>
      <c r="AY8" s="22"/>
      <c r="AZ8" s="22"/>
      <c r="BA8" s="22"/>
      <c r="BB8" s="22">
        <f>F26</f>
        <v>3800</v>
      </c>
      <c r="BC8" s="22">
        <f>BB8</f>
        <v>3800</v>
      </c>
      <c r="BE8" s="25" t="s">
        <v>5</v>
      </c>
      <c r="BF8" s="25" t="s">
        <v>8</v>
      </c>
      <c r="BG8" s="25" t="s">
        <v>10</v>
      </c>
      <c r="BH8" s="25" t="s">
        <v>13</v>
      </c>
      <c r="BI8" s="25" t="s">
        <v>41</v>
      </c>
      <c r="BJ8" s="25" t="s">
        <v>14</v>
      </c>
    </row>
    <row r="9" spans="2:62" ht="15.75" x14ac:dyDescent="0.25">
      <c r="B9" s="3"/>
      <c r="C9" s="1" t="s">
        <v>27</v>
      </c>
      <c r="D9" s="3"/>
      <c r="F9" s="3">
        <v>150</v>
      </c>
      <c r="G9" s="35"/>
      <c r="H9" s="3" t="s">
        <v>38</v>
      </c>
      <c r="I9" s="3"/>
      <c r="J9" s="3"/>
      <c r="L9" s="23" t="s">
        <v>22</v>
      </c>
      <c r="M9" s="32">
        <f>M6+M7+M8</f>
        <v>1290</v>
      </c>
      <c r="N9" s="35"/>
      <c r="S9" s="22">
        <f>F17</f>
        <v>3430</v>
      </c>
      <c r="T9" s="22">
        <f>T8+R9-S9</f>
        <v>-3280</v>
      </c>
      <c r="V9" s="7"/>
      <c r="W9" s="7"/>
      <c r="X9" s="7"/>
      <c r="Y9" s="7">
        <f>E8</f>
        <v>150</v>
      </c>
      <c r="AA9" s="1">
        <f>AA8+Y9-Z9</f>
        <v>3950</v>
      </c>
      <c r="AG9" s="22">
        <f>F32</f>
        <v>300</v>
      </c>
      <c r="AH9" s="22">
        <f>AH8+AF9-AG9</f>
        <v>3500</v>
      </c>
      <c r="AI9" s="14"/>
      <c r="AM9" s="1">
        <f>E12</f>
        <v>300</v>
      </c>
      <c r="AO9" s="1">
        <f>AO8+AN9-AM9</f>
        <v>3500</v>
      </c>
      <c r="AQ9" s="22"/>
      <c r="AR9" s="22"/>
      <c r="AS9" s="22"/>
      <c r="AT9" s="22"/>
      <c r="AU9" s="22"/>
      <c r="AV9" s="22">
        <f>AV8+AU9-AT9</f>
        <v>0</v>
      </c>
      <c r="AX9" s="22"/>
      <c r="AY9" s="22"/>
      <c r="AZ9" s="22"/>
      <c r="BA9" s="22"/>
      <c r="BB9" s="22"/>
      <c r="BC9" s="22">
        <f>BC8+BB9-BA9</f>
        <v>3800</v>
      </c>
      <c r="BE9" s="22"/>
      <c r="BF9" s="22"/>
      <c r="BG9" s="22"/>
      <c r="BH9" s="22">
        <f>E28</f>
        <v>2400</v>
      </c>
      <c r="BI9" s="22">
        <f>AO5</f>
        <v>0</v>
      </c>
      <c r="BJ9" s="22">
        <f>BH9</f>
        <v>2400</v>
      </c>
    </row>
    <row r="10" spans="2:62" x14ac:dyDescent="0.25">
      <c r="B10" s="3"/>
      <c r="C10" s="1" t="s">
        <v>28</v>
      </c>
      <c r="D10" s="3"/>
      <c r="E10" s="3"/>
      <c r="F10" s="3"/>
      <c r="G10" s="35"/>
      <c r="H10" s="3" t="s">
        <v>39</v>
      </c>
      <c r="I10" s="3"/>
      <c r="J10" s="3"/>
      <c r="L10" s="28" t="s">
        <v>2</v>
      </c>
      <c r="M10" s="27"/>
      <c r="N10" s="35"/>
      <c r="O10" s="35"/>
      <c r="P10" s="35"/>
      <c r="Q10" s="35"/>
      <c r="R10" s="35"/>
      <c r="S10" s="35"/>
      <c r="T10" s="35"/>
      <c r="U10" s="7"/>
      <c r="Z10" s="1">
        <f>F13</f>
        <v>300</v>
      </c>
      <c r="AA10" s="22">
        <f t="shared" ref="AA10:AA15" si="0">AA9+Y10-Z10</f>
        <v>3650</v>
      </c>
      <c r="AG10" s="22">
        <f>F38</f>
        <v>300</v>
      </c>
      <c r="AH10" s="22">
        <f t="shared" ref="AH10:AH11" si="1">AH9+AF10-AG10</f>
        <v>3200</v>
      </c>
      <c r="AM10" s="1">
        <f>E16</f>
        <v>3500</v>
      </c>
      <c r="AO10" s="22">
        <f t="shared" ref="AO10:AO14" si="2">AO9+AN10-AM10</f>
        <v>0</v>
      </c>
      <c r="BE10" s="22"/>
      <c r="BF10" s="22"/>
      <c r="BG10" s="22"/>
      <c r="BH10" s="22">
        <f>F35</f>
        <v>140</v>
      </c>
      <c r="BI10" s="22"/>
      <c r="BJ10" s="22">
        <f>BJ9+BI10-BH10</f>
        <v>2260</v>
      </c>
    </row>
    <row r="11" spans="2:62" x14ac:dyDescent="0.25">
      <c r="B11" s="3"/>
      <c r="D11" s="3"/>
      <c r="F11" s="3"/>
      <c r="G11" s="35"/>
      <c r="H11" s="3" t="s">
        <v>43</v>
      </c>
      <c r="I11" s="3"/>
      <c r="J11" s="3"/>
      <c r="L11" s="31" t="s">
        <v>17</v>
      </c>
      <c r="M11" s="27">
        <f>AO15</f>
        <v>0</v>
      </c>
      <c r="N11" s="35"/>
      <c r="O11" s="35"/>
      <c r="P11" s="35"/>
      <c r="Q11" s="35"/>
      <c r="R11" s="35"/>
      <c r="S11" s="35"/>
      <c r="T11" s="35"/>
      <c r="U11" s="7"/>
      <c r="Z11" s="1">
        <f>F18</f>
        <v>70</v>
      </c>
      <c r="AA11" s="22">
        <f t="shared" si="0"/>
        <v>3580</v>
      </c>
      <c r="AH11" s="22">
        <f t="shared" si="1"/>
        <v>3200</v>
      </c>
      <c r="AO11" s="22">
        <f t="shared" si="2"/>
        <v>0</v>
      </c>
      <c r="BI11" s="1">
        <f>F41</f>
        <v>50</v>
      </c>
    </row>
    <row r="12" spans="2:62" ht="15.75" x14ac:dyDescent="0.25">
      <c r="B12" s="34">
        <v>46150</v>
      </c>
      <c r="C12" s="1" t="s">
        <v>30</v>
      </c>
      <c r="D12" s="3"/>
      <c r="E12" s="1">
        <v>300</v>
      </c>
      <c r="F12" s="3"/>
      <c r="G12" s="35"/>
      <c r="H12" s="5" t="s">
        <v>48</v>
      </c>
      <c r="I12" s="5"/>
      <c r="J12" s="5"/>
      <c r="L12" s="23" t="s">
        <v>23</v>
      </c>
      <c r="M12" s="27">
        <f>M11</f>
        <v>0</v>
      </c>
      <c r="N12" s="36"/>
      <c r="O12" s="36"/>
      <c r="P12" s="36"/>
      <c r="Q12" s="36"/>
      <c r="R12" s="36"/>
      <c r="S12" s="36"/>
      <c r="T12" s="36"/>
      <c r="U12" s="7"/>
      <c r="Z12" s="1">
        <f>F29</f>
        <v>2400</v>
      </c>
      <c r="AA12" s="22">
        <f t="shared" si="0"/>
        <v>1180</v>
      </c>
      <c r="AO12" s="22">
        <f t="shared" si="2"/>
        <v>0</v>
      </c>
    </row>
    <row r="13" spans="2:62" x14ac:dyDescent="0.25">
      <c r="B13" s="3"/>
      <c r="C13" s="1" t="s">
        <v>21</v>
      </c>
      <c r="D13" s="3"/>
      <c r="F13" s="3">
        <v>300</v>
      </c>
      <c r="G13" s="35"/>
      <c r="H13" s="35"/>
      <c r="I13" s="35">
        <f>SUM(I4:I12)</f>
        <v>0</v>
      </c>
      <c r="J13" s="35">
        <f>SUM(J4:J12)</f>
        <v>0</v>
      </c>
      <c r="L13" s="28" t="s">
        <v>4</v>
      </c>
      <c r="M13" s="27"/>
      <c r="U13" s="7"/>
      <c r="Y13" s="1">
        <f>E34</f>
        <v>140</v>
      </c>
      <c r="AA13" s="22">
        <f t="shared" si="0"/>
        <v>1320</v>
      </c>
      <c r="AO13" s="22">
        <f t="shared" si="2"/>
        <v>0</v>
      </c>
      <c r="AX13" s="39" t="s">
        <v>43</v>
      </c>
      <c r="AY13" s="39"/>
      <c r="AZ13" s="39"/>
      <c r="BA13" s="39"/>
      <c r="BB13" s="39"/>
      <c r="BC13" s="39"/>
    </row>
    <row r="14" spans="2:62" x14ac:dyDescent="0.25">
      <c r="B14" s="3"/>
      <c r="C14" s="1" t="s">
        <v>31</v>
      </c>
      <c r="D14" s="3"/>
      <c r="F14" s="3"/>
      <c r="G14" s="35"/>
      <c r="H14" s="35"/>
      <c r="I14" s="35"/>
      <c r="J14" s="35"/>
      <c r="L14" s="23" t="s">
        <v>42</v>
      </c>
      <c r="M14" s="27">
        <f>BC9</f>
        <v>3800</v>
      </c>
      <c r="U14" s="7"/>
      <c r="Y14" s="1">
        <f>E40</f>
        <v>50</v>
      </c>
      <c r="AA14" s="22">
        <f t="shared" si="0"/>
        <v>1370</v>
      </c>
      <c r="AO14" s="22">
        <f t="shared" si="2"/>
        <v>0</v>
      </c>
      <c r="AX14" s="40"/>
      <c r="AY14" s="41"/>
      <c r="AZ14" s="41"/>
      <c r="BA14" s="41"/>
      <c r="BB14" s="42"/>
      <c r="BC14" s="18" t="s">
        <v>19</v>
      </c>
    </row>
    <row r="15" spans="2:62" x14ac:dyDescent="0.25">
      <c r="B15" s="3"/>
      <c r="D15" s="3"/>
      <c r="F15" s="3"/>
      <c r="G15" s="35"/>
      <c r="H15" s="35"/>
      <c r="I15" s="35"/>
      <c r="J15" s="35"/>
      <c r="L15" s="23" t="s">
        <v>43</v>
      </c>
      <c r="M15" s="27">
        <f>BC17</f>
        <v>600</v>
      </c>
      <c r="U15" s="7"/>
      <c r="AA15" s="22">
        <f t="shared" si="0"/>
        <v>1370</v>
      </c>
      <c r="AO15" s="22">
        <f>AO14+AN15-AM15</f>
        <v>0</v>
      </c>
      <c r="AX15" s="25" t="s">
        <v>5</v>
      </c>
      <c r="AY15" s="25" t="s">
        <v>8</v>
      </c>
      <c r="AZ15" s="25" t="s">
        <v>10</v>
      </c>
      <c r="BA15" s="25" t="s">
        <v>15</v>
      </c>
      <c r="BB15" s="25" t="s">
        <v>16</v>
      </c>
      <c r="BC15" s="25" t="s">
        <v>14</v>
      </c>
    </row>
    <row r="16" spans="2:62" x14ac:dyDescent="0.25">
      <c r="B16" s="34">
        <v>46156</v>
      </c>
      <c r="C16" s="1" t="s">
        <v>32</v>
      </c>
      <c r="D16" s="3"/>
      <c r="E16" s="1">
        <v>3500</v>
      </c>
      <c r="F16" s="3"/>
      <c r="G16" s="35"/>
      <c r="H16" s="35"/>
      <c r="I16" s="35"/>
      <c r="J16" s="35"/>
      <c r="L16" s="23" t="s">
        <v>49</v>
      </c>
      <c r="M16" s="27"/>
      <c r="U16" s="7"/>
      <c r="AX16" s="22"/>
      <c r="AY16" s="22"/>
      <c r="AZ16" s="22"/>
      <c r="BA16" s="22"/>
      <c r="BB16" s="22">
        <f>E31</f>
        <v>300</v>
      </c>
      <c r="BC16" s="22">
        <f>BB16</f>
        <v>300</v>
      </c>
    </row>
    <row r="17" spans="2:55" x14ac:dyDescent="0.25">
      <c r="B17" s="3"/>
      <c r="C17" s="1" t="s">
        <v>33</v>
      </c>
      <c r="D17" s="3"/>
      <c r="F17" s="3">
        <v>3430</v>
      </c>
      <c r="G17" s="35"/>
      <c r="H17" s="35"/>
      <c r="I17" s="35"/>
      <c r="J17" s="35"/>
      <c r="L17" s="23" t="s">
        <v>39</v>
      </c>
      <c r="M17" s="27">
        <f>BJ10</f>
        <v>2260</v>
      </c>
      <c r="U17" s="14"/>
      <c r="AX17" s="22"/>
      <c r="AY17" s="22"/>
      <c r="AZ17" s="22"/>
      <c r="BA17" s="22"/>
      <c r="BB17" s="22">
        <f>E37</f>
        <v>300</v>
      </c>
      <c r="BC17" s="22">
        <f>BC16+BB17-BA17</f>
        <v>600</v>
      </c>
    </row>
    <row r="18" spans="2:55" ht="15.75" x14ac:dyDescent="0.25">
      <c r="B18" s="3"/>
      <c r="C18" s="1" t="s">
        <v>36</v>
      </c>
      <c r="D18" s="3"/>
      <c r="E18" s="3"/>
      <c r="F18" s="3">
        <v>70</v>
      </c>
      <c r="G18" s="35"/>
      <c r="H18" s="35"/>
      <c r="I18" s="35"/>
      <c r="J18" s="35"/>
      <c r="L18" s="24" t="s">
        <v>24</v>
      </c>
      <c r="M18" s="33">
        <f>M14-M15-M17</f>
        <v>940</v>
      </c>
    </row>
    <row r="19" spans="2:55" x14ac:dyDescent="0.25">
      <c r="B19" s="3"/>
      <c r="C19" s="22" t="s">
        <v>35</v>
      </c>
      <c r="D19" s="3"/>
      <c r="E19" s="3"/>
      <c r="F19" s="3"/>
      <c r="G19" s="35"/>
      <c r="H19" s="35"/>
      <c r="I19" s="35"/>
      <c r="J19" s="35"/>
      <c r="AX19" s="39" t="s">
        <v>49</v>
      </c>
      <c r="AY19" s="39"/>
      <c r="AZ19" s="39"/>
      <c r="BA19" s="39"/>
      <c r="BB19" s="39"/>
      <c r="BC19" s="39"/>
    </row>
    <row r="20" spans="2:55" x14ac:dyDescent="0.25">
      <c r="B20" s="3"/>
      <c r="D20" s="3"/>
      <c r="E20" s="22"/>
      <c r="F20" s="3"/>
      <c r="G20" s="35"/>
      <c r="H20" s="35"/>
      <c r="I20" s="35"/>
      <c r="J20" s="35"/>
      <c r="AX20" s="40"/>
      <c r="AY20" s="41"/>
      <c r="AZ20" s="41"/>
      <c r="BA20" s="41"/>
      <c r="BB20" s="42"/>
      <c r="BC20" s="18" t="s">
        <v>19</v>
      </c>
    </row>
    <row r="21" spans="2:55" x14ac:dyDescent="0.25">
      <c r="B21" s="34">
        <v>46176</v>
      </c>
      <c r="C21" s="22" t="s">
        <v>32</v>
      </c>
      <c r="D21" s="3"/>
      <c r="E21" s="22">
        <v>3500</v>
      </c>
      <c r="F21" s="3"/>
      <c r="G21" s="35"/>
      <c r="H21" s="35"/>
      <c r="I21" s="35"/>
      <c r="J21" s="35"/>
      <c r="AX21" s="25" t="s">
        <v>5</v>
      </c>
      <c r="AY21" s="25" t="s">
        <v>8</v>
      </c>
      <c r="AZ21" s="25" t="s">
        <v>10</v>
      </c>
      <c r="BA21" s="25" t="s">
        <v>15</v>
      </c>
      <c r="BB21" s="25" t="s">
        <v>16</v>
      </c>
      <c r="BC21" s="25" t="s">
        <v>14</v>
      </c>
    </row>
    <row r="22" spans="2:55" x14ac:dyDescent="0.25">
      <c r="B22" s="3"/>
      <c r="C22" s="22" t="s">
        <v>33</v>
      </c>
      <c r="D22" s="3"/>
      <c r="E22" s="22"/>
      <c r="F22" s="3">
        <v>3500</v>
      </c>
      <c r="G22" s="35"/>
      <c r="H22" s="35"/>
      <c r="I22" s="35"/>
      <c r="J22" s="35"/>
      <c r="AX22" s="22"/>
      <c r="AY22" s="22"/>
      <c r="AZ22" s="22"/>
      <c r="BA22" s="22"/>
      <c r="BB22" s="22">
        <f>M16</f>
        <v>0</v>
      </c>
      <c r="BC22" s="22">
        <f>BB22</f>
        <v>0</v>
      </c>
    </row>
    <row r="23" spans="2:55" x14ac:dyDescent="0.25">
      <c r="B23" s="3"/>
      <c r="C23" s="22" t="s">
        <v>34</v>
      </c>
      <c r="D23" s="3"/>
      <c r="E23" s="22"/>
      <c r="F23" s="3"/>
      <c r="G23" s="35"/>
      <c r="H23" s="35"/>
      <c r="I23" s="35"/>
      <c r="J23" s="35"/>
      <c r="AX23" s="22"/>
      <c r="AY23" s="22"/>
      <c r="AZ23" s="22"/>
      <c r="BA23" s="22"/>
      <c r="BB23" s="22"/>
      <c r="BC23" s="22">
        <f>BC22+BB23-BA23</f>
        <v>0</v>
      </c>
    </row>
    <row r="24" spans="2:55" x14ac:dyDescent="0.25">
      <c r="B24" s="23"/>
      <c r="C24" s="3"/>
      <c r="D24" s="3"/>
      <c r="E24" s="3"/>
      <c r="F24" s="3"/>
      <c r="G24" s="35"/>
      <c r="H24" s="35"/>
      <c r="I24" s="35"/>
      <c r="J24" s="35"/>
    </row>
    <row r="25" spans="2:55" x14ac:dyDescent="0.25">
      <c r="B25" s="34">
        <v>46146</v>
      </c>
      <c r="C25" s="3" t="s">
        <v>37</v>
      </c>
      <c r="D25" s="3"/>
      <c r="E25" s="3">
        <v>3800</v>
      </c>
      <c r="F25" s="3"/>
      <c r="G25" s="35"/>
      <c r="H25" s="35"/>
      <c r="I25" s="35"/>
      <c r="J25" s="35"/>
    </row>
    <row r="26" spans="2:55" x14ac:dyDescent="0.25">
      <c r="B26" s="3"/>
      <c r="C26" s="3" t="s">
        <v>38</v>
      </c>
      <c r="D26" s="3"/>
      <c r="E26" s="3"/>
      <c r="F26" s="3">
        <v>3800</v>
      </c>
      <c r="G26" s="35"/>
      <c r="H26" s="35"/>
      <c r="I26" s="35"/>
      <c r="J26" s="35"/>
    </row>
    <row r="27" spans="2:55" x14ac:dyDescent="0.25">
      <c r="B27" s="3"/>
      <c r="C27" s="3"/>
      <c r="D27" s="3"/>
      <c r="E27" s="3"/>
      <c r="F27" s="3"/>
      <c r="G27" s="35"/>
      <c r="H27" s="35"/>
      <c r="I27" s="35"/>
      <c r="J27" s="35"/>
    </row>
    <row r="28" spans="2:55" x14ac:dyDescent="0.25">
      <c r="B28" s="3">
        <v>4</v>
      </c>
      <c r="C28" s="3" t="s">
        <v>39</v>
      </c>
      <c r="D28" s="3"/>
      <c r="E28" s="3">
        <v>2400</v>
      </c>
      <c r="F28" s="3"/>
      <c r="G28" s="35"/>
      <c r="H28" s="35"/>
      <c r="I28" s="35"/>
      <c r="J28" s="35"/>
    </row>
    <row r="29" spans="2:55" x14ac:dyDescent="0.25">
      <c r="B29" s="3"/>
      <c r="C29" s="3" t="s">
        <v>45</v>
      </c>
      <c r="D29" s="3"/>
      <c r="E29" s="3"/>
      <c r="F29" s="3">
        <v>2400</v>
      </c>
      <c r="G29" s="35"/>
      <c r="H29" s="35"/>
      <c r="I29" s="35"/>
      <c r="J29" s="35"/>
    </row>
    <row r="30" spans="2:55" s="22" customFormat="1" x14ac:dyDescent="0.25">
      <c r="B30" s="3"/>
      <c r="C30" s="3"/>
      <c r="D30" s="3"/>
      <c r="E30" s="3"/>
      <c r="F30" s="3"/>
      <c r="G30" s="35"/>
      <c r="H30" s="35"/>
      <c r="I30" s="35"/>
      <c r="J30" s="35"/>
    </row>
    <row r="31" spans="2:55" s="22" customFormat="1" x14ac:dyDescent="0.25">
      <c r="B31" s="34">
        <v>46150</v>
      </c>
      <c r="C31" s="3" t="s">
        <v>43</v>
      </c>
      <c r="D31" s="3"/>
      <c r="E31" s="3">
        <v>300</v>
      </c>
      <c r="F31" s="3"/>
      <c r="G31" s="35"/>
      <c r="H31" s="35"/>
      <c r="I31" s="35"/>
      <c r="J31" s="35"/>
    </row>
    <row r="32" spans="2:55" s="22" customFormat="1" x14ac:dyDescent="0.25">
      <c r="B32" s="3"/>
      <c r="C32" s="3" t="s">
        <v>44</v>
      </c>
      <c r="D32" s="3"/>
      <c r="E32" s="3"/>
      <c r="F32" s="3">
        <v>300</v>
      </c>
      <c r="G32" s="35"/>
      <c r="H32" s="35"/>
      <c r="I32" s="35"/>
      <c r="J32" s="35"/>
    </row>
    <row r="33" spans="2:10" s="22" customFormat="1" x14ac:dyDescent="0.25">
      <c r="B33" s="3"/>
      <c r="C33" s="3"/>
      <c r="D33" s="3"/>
      <c r="E33" s="3"/>
      <c r="F33" s="3"/>
      <c r="G33" s="35"/>
      <c r="H33" s="35"/>
      <c r="I33" s="35"/>
      <c r="J33" s="35"/>
    </row>
    <row r="34" spans="2:10" s="22" customFormat="1" x14ac:dyDescent="0.25">
      <c r="B34" s="3">
        <v>8</v>
      </c>
      <c r="C34" s="3" t="s">
        <v>26</v>
      </c>
      <c r="D34" s="3"/>
      <c r="E34" s="3">
        <v>140</v>
      </c>
      <c r="F34" s="3"/>
      <c r="G34" s="35"/>
      <c r="H34" s="35"/>
      <c r="I34" s="35"/>
      <c r="J34" s="35"/>
    </row>
    <row r="35" spans="2:10" s="22" customFormat="1" x14ac:dyDescent="0.25">
      <c r="B35" s="3"/>
      <c r="C35" s="3" t="s">
        <v>39</v>
      </c>
      <c r="D35" s="3"/>
      <c r="E35" s="3"/>
      <c r="F35" s="3">
        <v>140</v>
      </c>
      <c r="G35" s="35"/>
      <c r="H35" s="35"/>
      <c r="I35" s="35"/>
      <c r="J35" s="35"/>
    </row>
    <row r="36" spans="2:10" s="22" customFormat="1" x14ac:dyDescent="0.25">
      <c r="B36" s="3"/>
      <c r="C36" s="3"/>
      <c r="D36" s="3"/>
      <c r="E36" s="3"/>
      <c r="F36" s="3"/>
      <c r="G36" s="35"/>
      <c r="H36" s="35"/>
      <c r="I36" s="35"/>
      <c r="J36" s="35"/>
    </row>
    <row r="37" spans="2:10" s="22" customFormat="1" x14ac:dyDescent="0.25">
      <c r="B37" s="34">
        <v>46150</v>
      </c>
      <c r="C37" s="3" t="s">
        <v>43</v>
      </c>
      <c r="D37" s="3"/>
      <c r="E37" s="3">
        <v>300</v>
      </c>
      <c r="F37" s="3"/>
      <c r="G37" s="35"/>
      <c r="H37" s="35"/>
      <c r="I37" s="35"/>
      <c r="J37" s="35"/>
    </row>
    <row r="38" spans="2:10" s="22" customFormat="1" x14ac:dyDescent="0.25">
      <c r="B38" s="3"/>
      <c r="C38" s="3" t="s">
        <v>44</v>
      </c>
      <c r="D38" s="3"/>
      <c r="E38" s="3"/>
      <c r="F38" s="3">
        <v>300</v>
      </c>
      <c r="G38" s="35"/>
      <c r="H38" s="35"/>
      <c r="I38" s="35"/>
      <c r="J38" s="35"/>
    </row>
    <row r="39" spans="2:10" s="22" customFormat="1" x14ac:dyDescent="0.25">
      <c r="B39" s="3"/>
      <c r="C39" s="3"/>
      <c r="D39" s="3"/>
      <c r="E39" s="3"/>
      <c r="F39" s="3"/>
      <c r="G39" s="35"/>
      <c r="H39" s="35"/>
      <c r="I39" s="35"/>
      <c r="J39" s="35"/>
    </row>
    <row r="40" spans="2:10" s="22" customFormat="1" x14ac:dyDescent="0.25">
      <c r="B40" s="3">
        <v>8</v>
      </c>
      <c r="C40" s="3" t="s">
        <v>26</v>
      </c>
      <c r="D40" s="3"/>
      <c r="E40" s="3">
        <v>50</v>
      </c>
      <c r="F40" s="3"/>
      <c r="G40" s="35"/>
      <c r="H40" s="35"/>
      <c r="I40" s="35"/>
      <c r="J40" s="35"/>
    </row>
    <row r="41" spans="2:10" s="22" customFormat="1" x14ac:dyDescent="0.25">
      <c r="B41" s="3"/>
      <c r="C41" s="3" t="s">
        <v>47</v>
      </c>
      <c r="D41" s="3"/>
      <c r="E41" s="3"/>
      <c r="F41" s="3">
        <v>50</v>
      </c>
      <c r="G41" s="35"/>
      <c r="H41" s="35"/>
      <c r="I41" s="35"/>
      <c r="J41" s="35"/>
    </row>
    <row r="42" spans="2:10" s="22" customFormat="1" x14ac:dyDescent="0.25">
      <c r="B42" s="3"/>
      <c r="C42" s="3"/>
      <c r="D42" s="3"/>
      <c r="E42" s="3"/>
      <c r="F42" s="3"/>
      <c r="G42" s="35"/>
      <c r="H42" s="35"/>
      <c r="I42" s="35"/>
      <c r="J42" s="35"/>
    </row>
    <row r="43" spans="2:10" s="22" customFormat="1" x14ac:dyDescent="0.25">
      <c r="B43" s="34">
        <v>46156</v>
      </c>
      <c r="C43" s="3" t="s">
        <v>29</v>
      </c>
      <c r="D43" s="3"/>
      <c r="E43" s="3">
        <v>3430</v>
      </c>
      <c r="F43" s="3"/>
      <c r="G43" s="35"/>
      <c r="H43" s="35"/>
      <c r="I43" s="35"/>
      <c r="J43" s="35"/>
    </row>
    <row r="44" spans="2:10" s="22" customFormat="1" x14ac:dyDescent="0.25">
      <c r="B44" s="3"/>
      <c r="C44" s="3" t="s">
        <v>48</v>
      </c>
      <c r="D44" s="3"/>
      <c r="E44" s="3">
        <v>70</v>
      </c>
      <c r="F44" s="3"/>
      <c r="G44" s="35"/>
      <c r="H44" s="35"/>
      <c r="I44" s="35"/>
      <c r="J44" s="35"/>
    </row>
    <row r="45" spans="2:10" s="22" customFormat="1" x14ac:dyDescent="0.25">
      <c r="B45" s="3"/>
      <c r="C45" s="3" t="s">
        <v>44</v>
      </c>
      <c r="D45" s="3"/>
      <c r="E45" s="3"/>
      <c r="F45" s="3">
        <v>3500</v>
      </c>
      <c r="G45" s="35"/>
      <c r="H45" s="35"/>
      <c r="I45" s="35"/>
      <c r="J45" s="35"/>
    </row>
    <row r="46" spans="2:10" x14ac:dyDescent="0.25">
      <c r="B46" s="5"/>
      <c r="C46" s="6"/>
      <c r="D46" s="5"/>
      <c r="E46" s="6"/>
      <c r="F46" s="5"/>
      <c r="G46" s="35"/>
      <c r="H46" s="35"/>
      <c r="I46" s="35"/>
      <c r="J46" s="35"/>
    </row>
    <row r="47" spans="2:10" x14ac:dyDescent="0.25">
      <c r="E47" s="1">
        <f>SUM(E4:E46)</f>
        <v>21740</v>
      </c>
      <c r="F47" s="22">
        <f>SUM(F4:F46)</f>
        <v>21740</v>
      </c>
    </row>
  </sheetData>
  <mergeCells count="23">
    <mergeCell ref="H2:J2"/>
    <mergeCell ref="AX19:BC19"/>
    <mergeCell ref="AX20:BB20"/>
    <mergeCell ref="AQ3:BJ3"/>
    <mergeCell ref="BE6:BJ6"/>
    <mergeCell ref="O5:T5"/>
    <mergeCell ref="O6:S6"/>
    <mergeCell ref="AQ6:AU6"/>
    <mergeCell ref="AJ3:AO3"/>
    <mergeCell ref="V6:Z6"/>
    <mergeCell ref="AJ5:AO5"/>
    <mergeCell ref="AJ6:AN6"/>
    <mergeCell ref="V5:AA5"/>
    <mergeCell ref="AQ5:AV5"/>
    <mergeCell ref="AC5:AH5"/>
    <mergeCell ref="AC6:AG6"/>
    <mergeCell ref="O3:AH3"/>
    <mergeCell ref="AX13:BC13"/>
    <mergeCell ref="AX14:BB14"/>
    <mergeCell ref="AX5:BC5"/>
    <mergeCell ref="AX6:BB6"/>
    <mergeCell ref="BE5:BJ5"/>
    <mergeCell ref="BE7:B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4" sqref="B34"/>
    </sheetView>
  </sheetViews>
  <sheetFormatPr defaultRowHeight="15" x14ac:dyDescent="0.25"/>
  <cols>
    <col min="1" max="16384" width="9.140625" style="2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2026-02-04T15:49:50Z</dcterms:modified>
</cp:coreProperties>
</file>
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one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8" i="2" l="1"/>
  <c r="G41" i="2"/>
  <c r="I41" i="2" s="1"/>
  <c r="I42" i="2" s="1"/>
  <c r="I43" i="2" s="1"/>
  <c r="I44" i="2" s="1"/>
  <c r="I45" i="2" s="1"/>
  <c r="I46" i="2" s="1"/>
  <c r="I47" i="2" s="1"/>
  <c r="G32" i="2"/>
  <c r="I32" i="2" s="1"/>
  <c r="I33" i="2" s="1"/>
  <c r="I34" i="2" s="1"/>
  <c r="I35" i="2" s="1"/>
  <c r="I36" i="2" s="1"/>
  <c r="I37" i="2" s="1"/>
  <c r="I38" i="2" s="1"/>
  <c r="H39" i="2"/>
  <c r="G23" i="2"/>
  <c r="H30" i="2"/>
  <c r="I23" i="2"/>
  <c r="I24" i="2" s="1"/>
  <c r="I25" i="2" s="1"/>
  <c r="I26" i="2" s="1"/>
  <c r="I27" i="2" s="1"/>
  <c r="I28" i="2" s="1"/>
  <c r="I29" i="2" s="1"/>
  <c r="H21" i="2"/>
  <c r="G14" i="2"/>
  <c r="I14" i="2" s="1"/>
  <c r="I15" i="2" s="1"/>
  <c r="I16" i="2" s="1"/>
  <c r="I17" i="2" s="1"/>
  <c r="I18" i="2" s="1"/>
  <c r="I19" i="2" s="1"/>
  <c r="I20" i="2" s="1"/>
  <c r="K15" i="1" l="1"/>
  <c r="K11" i="1"/>
  <c r="V10" i="1" l="1"/>
  <c r="U20" i="1"/>
  <c r="W20" i="1" s="1"/>
  <c r="W21" i="1" s="1"/>
  <c r="W22" i="1" s="1"/>
  <c r="W23" i="1" s="1"/>
  <c r="AS9" i="1" l="1"/>
  <c r="AL9" i="1"/>
  <c r="U9" i="1"/>
  <c r="I5" i="2"/>
  <c r="I6" i="2" s="1"/>
  <c r="I7" i="2" s="1"/>
  <c r="I8" i="2" s="1"/>
  <c r="I9" i="2" s="1"/>
  <c r="I10" i="2" s="1"/>
  <c r="I11" i="2" s="1"/>
  <c r="BK9" i="1" l="1"/>
  <c r="BK10" i="1" s="1"/>
  <c r="BC9" i="1"/>
  <c r="BC10" i="1" s="1"/>
  <c r="AU9" i="1"/>
  <c r="AU10" i="1" s="1"/>
  <c r="AM9" i="1"/>
  <c r="AM10" i="1" s="1"/>
  <c r="AM11" i="1" s="1"/>
  <c r="AM12" i="1" s="1"/>
  <c r="K22" i="1" s="1"/>
  <c r="K23" i="1" s="1"/>
  <c r="K25" i="1" s="1"/>
  <c r="AE9" i="1"/>
  <c r="AE10" i="1" s="1"/>
  <c r="W9" i="1"/>
  <c r="W10" i="1" s="1"/>
  <c r="W11" i="1" s="1"/>
  <c r="W12" i="1" s="1"/>
  <c r="W13" i="1" s="1"/>
  <c r="W14" i="1" s="1"/>
  <c r="W15" i="1" s="1"/>
  <c r="W16" i="1" s="1"/>
  <c r="K10" i="1" l="1"/>
</calcChain>
</file>

<file path=xl/sharedStrings.xml><?xml version="1.0" encoding="utf-8"?>
<sst xmlns="http://schemas.openxmlformats.org/spreadsheetml/2006/main" count="200" uniqueCount="57">
  <si>
    <t>No:</t>
  </si>
  <si>
    <t>Date</t>
  </si>
  <si>
    <t>Post</t>
  </si>
  <si>
    <t>Debit</t>
  </si>
  <si>
    <t>Credit</t>
  </si>
  <si>
    <t>Gernel Journal</t>
  </si>
  <si>
    <t>Salaam Bank</t>
  </si>
  <si>
    <t>Assets</t>
  </si>
  <si>
    <t>Description</t>
  </si>
  <si>
    <t>Balance</t>
  </si>
  <si>
    <t>`</t>
  </si>
  <si>
    <t>jan/1/12025</t>
  </si>
  <si>
    <t>+</t>
  </si>
  <si>
    <t>Debit +</t>
  </si>
  <si>
    <t>Credit -</t>
  </si>
  <si>
    <t>=</t>
  </si>
  <si>
    <t>Liabilities</t>
  </si>
  <si>
    <t>XYZ</t>
  </si>
  <si>
    <t>Account Payable</t>
  </si>
  <si>
    <t>Debit -</t>
  </si>
  <si>
    <t>Credit +</t>
  </si>
  <si>
    <t>Owner's Equity</t>
  </si>
  <si>
    <t>Drawing</t>
  </si>
  <si>
    <t>-</t>
  </si>
  <si>
    <t>Revenue</t>
  </si>
  <si>
    <t>Expenses</t>
  </si>
  <si>
    <t>sales</t>
  </si>
  <si>
    <t>Capital</t>
  </si>
  <si>
    <t>xasan</t>
  </si>
  <si>
    <r>
      <t xml:space="preserve">Account:No  </t>
    </r>
    <r>
      <rPr>
        <b/>
        <sz val="12"/>
        <color theme="7"/>
        <rFont val="Calibri"/>
        <family val="2"/>
        <scheme val="minor"/>
      </rPr>
      <t>300</t>
    </r>
  </si>
  <si>
    <r>
      <t xml:space="preserve">Account:No </t>
    </r>
    <r>
      <rPr>
        <b/>
        <sz val="12"/>
        <color theme="7"/>
        <rFont val="Calibri"/>
        <family val="2"/>
        <scheme val="minor"/>
      </rPr>
      <t>200</t>
    </r>
  </si>
  <si>
    <r>
      <t xml:space="preserve">Account:No </t>
    </r>
    <r>
      <rPr>
        <b/>
        <sz val="12"/>
        <color theme="7"/>
        <rFont val="Calibri"/>
        <family val="2"/>
        <scheme val="minor"/>
      </rPr>
      <t>100</t>
    </r>
  </si>
  <si>
    <r>
      <t xml:space="preserve">Account:No </t>
    </r>
    <r>
      <rPr>
        <b/>
        <sz val="11"/>
        <color rgb="FF92D050"/>
        <rFont val="Calibri"/>
        <family val="2"/>
        <scheme val="minor"/>
      </rPr>
      <t>5</t>
    </r>
    <r>
      <rPr>
        <b/>
        <sz val="12"/>
        <color rgb="FF92D050"/>
        <rFont val="Calibri"/>
        <family val="2"/>
        <scheme val="minor"/>
      </rPr>
      <t>00</t>
    </r>
  </si>
  <si>
    <r>
      <t>Account:No</t>
    </r>
    <r>
      <rPr>
        <b/>
        <sz val="11"/>
        <color rgb="FF92D050"/>
        <rFont val="Calibri"/>
        <family val="2"/>
        <scheme val="minor"/>
      </rPr>
      <t xml:space="preserve"> 312</t>
    </r>
  </si>
  <si>
    <r>
      <t xml:space="preserve">Account:No </t>
    </r>
    <r>
      <rPr>
        <b/>
        <sz val="11"/>
        <color rgb="FF92D050"/>
        <rFont val="Calibri"/>
        <family val="2"/>
        <scheme val="minor"/>
      </rPr>
      <t>4</t>
    </r>
    <r>
      <rPr>
        <b/>
        <sz val="12"/>
        <color rgb="FF92D050"/>
        <rFont val="Calibri"/>
        <family val="2"/>
        <scheme val="minor"/>
      </rPr>
      <t>00</t>
    </r>
  </si>
  <si>
    <t>Balance Sheet</t>
  </si>
  <si>
    <t>Total Assets</t>
  </si>
  <si>
    <t>Total  Liabilities</t>
  </si>
  <si>
    <t>Total Owner's Equity</t>
  </si>
  <si>
    <t>Total Owner's Equity &amp; Liabilities</t>
  </si>
  <si>
    <t>Account Receiveble</t>
  </si>
  <si>
    <t>Dedit</t>
  </si>
  <si>
    <t>Computer hp</t>
  </si>
  <si>
    <t>Office Table &amp; Chair</t>
  </si>
  <si>
    <t>saacad koronto</t>
  </si>
  <si>
    <t>Emplooyee Programing</t>
  </si>
  <si>
    <t xml:space="preserve">adverveding </t>
  </si>
  <si>
    <t>Rent Expense</t>
  </si>
  <si>
    <r>
      <t xml:space="preserve">Account:No </t>
    </r>
    <r>
      <rPr>
        <b/>
        <sz val="12"/>
        <color theme="7"/>
        <rFont val="Calibri"/>
        <family val="2"/>
        <scheme val="minor"/>
      </rPr>
      <t>101</t>
    </r>
  </si>
  <si>
    <t>jan/2/12025</t>
  </si>
  <si>
    <t>Equitpment</t>
  </si>
  <si>
    <t>FristName</t>
  </si>
  <si>
    <t>LastName</t>
  </si>
  <si>
    <t>Address</t>
  </si>
  <si>
    <t>Imege</t>
  </si>
  <si>
    <t>Gmail</t>
  </si>
  <si>
    <t>Mobile Numbar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</si>
</sst>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7"/>
      <name val="Calibri"/>
      <family val="2"/>
      <scheme val="minor"/>
    </font>
    <font>
      <b/>
      <sz val="12"/>
      <color rgb="FF92D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14" fontId="0" fillId="3" borderId="1" xfId="0" applyNumberFormat="1" applyFill="1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3" borderId="3" xfId="0" applyFill="1" applyBorder="1" applyAlignment="1">
      <alignment horizontal="right"/>
    </xf>
    <xf numFmtId="0" fontId="0" fillId="3" borderId="3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3" borderId="0" xfId="0" applyFont="1" applyFill="1"/>
    <xf numFmtId="0" fontId="5" fillId="3" borderId="0" xfId="0" applyFont="1" applyFill="1" applyAlignment="1">
      <alignment horizontal="center"/>
    </xf>
    <xf numFmtId="0" fontId="3" fillId="3" borderId="0" xfId="0" applyFont="1" applyFill="1"/>
    <xf numFmtId="0" fontId="5" fillId="3" borderId="0" xfId="0" applyFont="1" applyFill="1"/>
    <xf numFmtId="0" fontId="0" fillId="3" borderId="0" xfId="0" applyFill="1" applyBorder="1"/>
    <xf numFmtId="0" fontId="3" fillId="3" borderId="0" xfId="0" applyFont="1" applyFill="1" applyBorder="1" applyAlignment="1">
      <alignment horizontal="center"/>
    </xf>
    <xf numFmtId="0" fontId="1" fillId="3" borderId="0" xfId="0" applyFont="1" applyFill="1" applyBorder="1"/>
    <xf numFmtId="0" fontId="9" fillId="3" borderId="0" xfId="0" applyFont="1" applyFill="1" applyBorder="1"/>
    <xf numFmtId="0" fontId="2" fillId="3" borderId="0" xfId="0" applyFont="1" applyFill="1" applyBorder="1"/>
    <xf numFmtId="0" fontId="0" fillId="3" borderId="16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0" fillId="3" borderId="3" xfId="0" applyFill="1" applyBorder="1" applyAlignment="1">
      <alignment horizontal="right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3" borderId="3" xfId="0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2" fillId="3" borderId="5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K38"/>
  <sheetViews>
    <sheetView topLeftCell="A4" zoomScale="118" zoomScaleNormal="118" workbookViewId="0">
      <selection activeCell="G27" sqref="G27"/>
    </sheetView>
  </sheetViews>
  <sheetFormatPr defaultRowHeight="15" x14ac:dyDescent="0.25"/>
  <cols>
    <col min="1" max="1" width="4.42578125" style="1" customWidth="1"/>
    <col min="2" max="2" width="4.140625" style="1" bestFit="1" customWidth="1"/>
    <col min="3" max="3" width="11.85546875" style="1" bestFit="1" customWidth="1"/>
    <col min="4" max="4" width="22" style="1" bestFit="1" customWidth="1"/>
    <col min="5" max="5" width="4.7109375" style="1" customWidth="1"/>
    <col min="6" max="6" width="5.85546875" style="1" bestFit="1" customWidth="1"/>
    <col min="7" max="7" width="6.42578125" style="1" bestFit="1" customWidth="1"/>
    <col min="8" max="8" width="2.42578125" style="1" customWidth="1"/>
    <col min="9" max="9" width="29.7109375" style="1" customWidth="1"/>
    <col min="10" max="10" width="2.85546875" style="1" customWidth="1"/>
    <col min="11" max="11" width="9.140625" style="1"/>
    <col min="12" max="12" width="4.140625" style="1" customWidth="1"/>
    <col min="13" max="15" width="9.140625" style="1"/>
    <col min="16" max="16" width="4.140625" style="1" customWidth="1"/>
    <col min="17" max="17" width="4.140625" style="1" bestFit="1" customWidth="1"/>
    <col min="18" max="18" width="11.42578125" style="1" bestFit="1" customWidth="1"/>
    <col min="19" max="19" width="12" style="1" bestFit="1" customWidth="1"/>
    <col min="20" max="20" width="4.85546875" style="1" bestFit="1" customWidth="1"/>
    <col min="21" max="21" width="7.28515625" style="1" bestFit="1" customWidth="1"/>
    <col min="22" max="22" width="7.5703125" style="1" bestFit="1" customWidth="1"/>
    <col min="23" max="23" width="11.140625" style="1" bestFit="1" customWidth="1"/>
    <col min="24" max="24" width="2.7109375" style="1" bestFit="1" customWidth="1"/>
    <col min="25" max="25" width="5" style="1" customWidth="1"/>
    <col min="26" max="26" width="12.28515625" style="1" customWidth="1"/>
    <col min="27" max="27" width="11.140625" style="1" bestFit="1" customWidth="1"/>
    <col min="28" max="28" width="4.85546875" style="1" bestFit="1" customWidth="1"/>
    <col min="29" max="29" width="7.28515625" style="1" bestFit="1" customWidth="1"/>
    <col min="30" max="30" width="7.85546875" style="1" bestFit="1" customWidth="1"/>
    <col min="31" max="31" width="11.140625" style="1" bestFit="1" customWidth="1"/>
    <col min="32" max="32" width="2.7109375" style="1" bestFit="1" customWidth="1"/>
    <col min="33" max="33" width="9.140625" style="1"/>
    <col min="34" max="34" width="11.42578125" style="1" bestFit="1" customWidth="1"/>
    <col min="35" max="35" width="9.7109375" style="1" customWidth="1"/>
    <col min="36" max="36" width="4.85546875" style="1" bestFit="1" customWidth="1"/>
    <col min="37" max="37" width="7" style="1" bestFit="1" customWidth="1"/>
    <col min="38" max="39" width="9.140625" style="1"/>
    <col min="40" max="40" width="2.7109375" style="1" bestFit="1" customWidth="1"/>
    <col min="41" max="41" width="9.140625" style="1"/>
    <col min="42" max="42" width="11.42578125" style="1" bestFit="1" customWidth="1"/>
    <col min="43" max="43" width="12" style="1" bestFit="1" customWidth="1"/>
    <col min="44" max="44" width="4.85546875" style="1" bestFit="1" customWidth="1"/>
    <col min="45" max="45" width="7.28515625" style="1" bestFit="1" customWidth="1"/>
    <col min="46" max="46" width="7.5703125" style="1" bestFit="1" customWidth="1"/>
    <col min="47" max="47" width="9.140625" style="1"/>
    <col min="48" max="48" width="2" style="1" bestFit="1" customWidth="1"/>
    <col min="49" max="49" width="9.140625" style="1"/>
    <col min="50" max="50" width="11.42578125" style="1" bestFit="1" customWidth="1"/>
    <col min="51" max="51" width="11.140625" style="1" bestFit="1" customWidth="1"/>
    <col min="52" max="54" width="9.140625" style="1"/>
    <col min="55" max="55" width="11.140625" style="1" bestFit="1" customWidth="1"/>
    <col min="56" max="56" width="2.140625" style="1" bestFit="1" customWidth="1"/>
    <col min="57" max="57" width="9.140625" style="1"/>
    <col min="58" max="58" width="11.42578125" style="1" bestFit="1" customWidth="1"/>
    <col min="59" max="59" width="12" style="1" bestFit="1" customWidth="1"/>
    <col min="60" max="60" width="4.85546875" style="1" bestFit="1" customWidth="1"/>
    <col min="61" max="61" width="7.28515625" style="1" bestFit="1" customWidth="1"/>
    <col min="62" max="62" width="7.5703125" style="1" bestFit="1" customWidth="1"/>
    <col min="63" max="16384" width="9.140625" style="1"/>
  </cols>
  <sheetData>
    <row r="4" spans="2:63" ht="19.5" thickBot="1" x14ac:dyDescent="0.35">
      <c r="P4" s="9"/>
      <c r="AG4" s="32" t="s">
        <v>21</v>
      </c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</row>
    <row r="5" spans="2:63" ht="19.5" thickBot="1" x14ac:dyDescent="0.35">
      <c r="Q5" s="32" t="s">
        <v>7</v>
      </c>
      <c r="R5" s="32"/>
      <c r="S5" s="32"/>
      <c r="T5" s="32"/>
      <c r="U5" s="32"/>
      <c r="V5" s="32"/>
      <c r="W5" s="32"/>
      <c r="Y5" s="32" t="s">
        <v>16</v>
      </c>
      <c r="Z5" s="32"/>
      <c r="AA5" s="32"/>
      <c r="AB5" s="32"/>
      <c r="AC5" s="32"/>
      <c r="AD5" s="32"/>
      <c r="AE5" s="32"/>
      <c r="AG5" s="29" t="s">
        <v>27</v>
      </c>
      <c r="AH5" s="29"/>
      <c r="AI5" s="29"/>
      <c r="AJ5" s="29"/>
      <c r="AK5" s="29"/>
      <c r="AL5" s="29"/>
      <c r="AM5" s="29"/>
      <c r="AN5" s="11"/>
      <c r="AO5" s="29" t="s">
        <v>22</v>
      </c>
      <c r="AP5" s="29"/>
      <c r="AQ5" s="29"/>
      <c r="AR5" s="29"/>
      <c r="AS5" s="29"/>
      <c r="AT5" s="29"/>
      <c r="AU5" s="29"/>
      <c r="AV5" s="11"/>
      <c r="AW5" s="29" t="s">
        <v>24</v>
      </c>
      <c r="AX5" s="29"/>
      <c r="AY5" s="29"/>
      <c r="AZ5" s="29"/>
      <c r="BA5" s="29"/>
      <c r="BB5" s="29"/>
      <c r="BC5" s="29"/>
      <c r="BD5" s="11"/>
      <c r="BE5" s="29" t="s">
        <v>25</v>
      </c>
      <c r="BF5" s="29"/>
      <c r="BG5" s="29"/>
      <c r="BH5" s="29"/>
      <c r="BI5" s="29"/>
      <c r="BJ5" s="29"/>
      <c r="BK5" s="29"/>
    </row>
    <row r="6" spans="2:63" ht="21" x14ac:dyDescent="0.35">
      <c r="X6" s="10" t="s">
        <v>15</v>
      </c>
      <c r="AF6" s="10" t="s">
        <v>12</v>
      </c>
      <c r="AN6" s="10" t="s">
        <v>23</v>
      </c>
      <c r="AV6" s="12" t="s">
        <v>12</v>
      </c>
      <c r="BD6" s="10" t="s">
        <v>23</v>
      </c>
    </row>
    <row r="7" spans="2:63" ht="15.75" x14ac:dyDescent="0.25">
      <c r="B7" s="26" t="s">
        <v>5</v>
      </c>
      <c r="C7" s="27"/>
      <c r="D7" s="27"/>
      <c r="E7" s="27"/>
      <c r="F7" s="27"/>
      <c r="G7" s="28"/>
      <c r="H7" s="14"/>
      <c r="I7" s="33" t="s">
        <v>35</v>
      </c>
      <c r="J7" s="34"/>
      <c r="K7" s="35"/>
      <c r="L7" s="14"/>
      <c r="M7" s="33" t="s">
        <v>35</v>
      </c>
      <c r="N7" s="34"/>
      <c r="O7" s="35"/>
      <c r="Q7" s="8" t="s">
        <v>6</v>
      </c>
      <c r="R7" s="7"/>
      <c r="S7" s="7"/>
      <c r="T7" s="7"/>
      <c r="U7" s="6"/>
      <c r="V7" s="30" t="s">
        <v>31</v>
      </c>
      <c r="W7" s="31"/>
      <c r="Y7" s="8" t="s">
        <v>18</v>
      </c>
      <c r="Z7" s="7"/>
      <c r="AA7" s="7"/>
      <c r="AB7" s="7"/>
      <c r="AC7" s="6"/>
      <c r="AD7" s="30" t="s">
        <v>30</v>
      </c>
      <c r="AE7" s="31"/>
      <c r="AG7" s="8" t="s">
        <v>17</v>
      </c>
      <c r="AH7" s="7"/>
      <c r="AI7" s="7"/>
      <c r="AJ7" s="7"/>
      <c r="AK7" s="6"/>
      <c r="AL7" s="30" t="s">
        <v>29</v>
      </c>
      <c r="AM7" s="31"/>
      <c r="AO7" s="8" t="s">
        <v>28</v>
      </c>
      <c r="AP7" s="7"/>
      <c r="AQ7" s="7"/>
      <c r="AR7" s="7"/>
      <c r="AS7" s="6"/>
      <c r="AT7" s="30" t="s">
        <v>33</v>
      </c>
      <c r="AU7" s="31"/>
      <c r="AW7" s="8" t="s">
        <v>26</v>
      </c>
      <c r="AX7" s="7"/>
      <c r="AY7" s="7"/>
      <c r="AZ7" s="7"/>
      <c r="BA7" s="6"/>
      <c r="BB7" s="30" t="s">
        <v>34</v>
      </c>
      <c r="BC7" s="31"/>
      <c r="BE7" s="8" t="s">
        <v>25</v>
      </c>
      <c r="BF7" s="7"/>
      <c r="BG7" s="7"/>
      <c r="BH7" s="7"/>
      <c r="BI7" s="6"/>
      <c r="BJ7" s="30" t="s">
        <v>32</v>
      </c>
      <c r="BK7" s="31"/>
    </row>
    <row r="8" spans="2:63" x14ac:dyDescent="0.25">
      <c r="B8" s="4" t="s">
        <v>0</v>
      </c>
      <c r="C8" s="4" t="s">
        <v>1</v>
      </c>
      <c r="D8" s="4" t="s">
        <v>8</v>
      </c>
      <c r="E8" s="4" t="s">
        <v>2</v>
      </c>
      <c r="F8" s="4" t="s">
        <v>3</v>
      </c>
      <c r="G8" s="4" t="s">
        <v>4</v>
      </c>
      <c r="H8" s="15"/>
      <c r="I8" s="36" t="s">
        <v>11</v>
      </c>
      <c r="J8" s="37"/>
      <c r="K8" s="38"/>
      <c r="L8" s="15"/>
      <c r="M8" s="36" t="s">
        <v>11</v>
      </c>
      <c r="N8" s="37"/>
      <c r="O8" s="38"/>
      <c r="Q8" s="5" t="s">
        <v>0</v>
      </c>
      <c r="R8" s="5" t="s">
        <v>1</v>
      </c>
      <c r="S8" s="5" t="s">
        <v>8</v>
      </c>
      <c r="T8" s="5" t="s">
        <v>2</v>
      </c>
      <c r="U8" s="5" t="s">
        <v>13</v>
      </c>
      <c r="V8" s="5" t="s">
        <v>14</v>
      </c>
      <c r="W8" s="5" t="s">
        <v>9</v>
      </c>
      <c r="Y8" s="5" t="s">
        <v>0</v>
      </c>
      <c r="Z8" s="5" t="s">
        <v>1</v>
      </c>
      <c r="AA8" s="5" t="s">
        <v>8</v>
      </c>
      <c r="AB8" s="5" t="s">
        <v>2</v>
      </c>
      <c r="AC8" s="5" t="s">
        <v>19</v>
      </c>
      <c r="AD8" s="5" t="s">
        <v>20</v>
      </c>
      <c r="AE8" s="5" t="s">
        <v>9</v>
      </c>
      <c r="AG8" s="5" t="s">
        <v>0</v>
      </c>
      <c r="AH8" s="5" t="s">
        <v>1</v>
      </c>
      <c r="AI8" s="5" t="s">
        <v>8</v>
      </c>
      <c r="AJ8" s="5" t="s">
        <v>2</v>
      </c>
      <c r="AK8" s="5" t="s">
        <v>19</v>
      </c>
      <c r="AL8" s="5" t="s">
        <v>20</v>
      </c>
      <c r="AM8" s="5" t="s">
        <v>9</v>
      </c>
      <c r="AO8" s="5" t="s">
        <v>0</v>
      </c>
      <c r="AP8" s="5" t="s">
        <v>1</v>
      </c>
      <c r="AQ8" s="5" t="s">
        <v>8</v>
      </c>
      <c r="AR8" s="5" t="s">
        <v>2</v>
      </c>
      <c r="AS8" s="5" t="s">
        <v>13</v>
      </c>
      <c r="AT8" s="5" t="s">
        <v>14</v>
      </c>
      <c r="AU8" s="5" t="s">
        <v>9</v>
      </c>
      <c r="AW8" s="5" t="s">
        <v>0</v>
      </c>
      <c r="AX8" s="5" t="s">
        <v>1</v>
      </c>
      <c r="AY8" s="5" t="s">
        <v>8</v>
      </c>
      <c r="AZ8" s="5" t="s">
        <v>2</v>
      </c>
      <c r="BA8" s="5" t="s">
        <v>19</v>
      </c>
      <c r="BB8" s="5" t="s">
        <v>20</v>
      </c>
      <c r="BC8" s="5" t="s">
        <v>9</v>
      </c>
      <c r="BE8" s="5" t="s">
        <v>0</v>
      </c>
      <c r="BF8" s="5" t="s">
        <v>1</v>
      </c>
      <c r="BG8" s="5" t="s">
        <v>8</v>
      </c>
      <c r="BH8" s="5" t="s">
        <v>2</v>
      </c>
      <c r="BI8" s="5" t="s">
        <v>13</v>
      </c>
      <c r="BJ8" s="5" t="s">
        <v>14</v>
      </c>
      <c r="BK8" s="5" t="s">
        <v>9</v>
      </c>
    </row>
    <row r="9" spans="2:63" x14ac:dyDescent="0.25">
      <c r="B9" s="2">
        <v>1</v>
      </c>
      <c r="C9" s="3" t="s">
        <v>11</v>
      </c>
      <c r="D9" s="2" t="s">
        <v>6</v>
      </c>
      <c r="E9" s="2">
        <v>100</v>
      </c>
      <c r="F9" s="2">
        <v>500</v>
      </c>
      <c r="G9" s="2"/>
      <c r="H9" s="13"/>
      <c r="I9" s="15" t="s">
        <v>7</v>
      </c>
      <c r="J9" s="13"/>
      <c r="K9" s="13"/>
      <c r="L9" s="13"/>
      <c r="M9" s="13"/>
      <c r="N9" s="13"/>
      <c r="O9" s="13"/>
      <c r="Q9" s="2">
        <v>1</v>
      </c>
      <c r="R9" s="2" t="s">
        <v>11</v>
      </c>
      <c r="S9" s="2" t="s">
        <v>6</v>
      </c>
      <c r="T9" s="2"/>
      <c r="U9" s="2">
        <f>F9</f>
        <v>500</v>
      </c>
      <c r="V9" s="2"/>
      <c r="W9" s="2">
        <f>+U9</f>
        <v>500</v>
      </c>
      <c r="Y9" s="2">
        <v>1</v>
      </c>
      <c r="Z9" s="2" t="s">
        <v>11</v>
      </c>
      <c r="AA9" s="2"/>
      <c r="AB9" s="2"/>
      <c r="AC9" s="2"/>
      <c r="AD9" s="2"/>
      <c r="AE9" s="2">
        <f>+AD9</f>
        <v>0</v>
      </c>
      <c r="AG9" s="2">
        <v>1</v>
      </c>
      <c r="AH9" s="2" t="s">
        <v>11</v>
      </c>
      <c r="AI9" s="2"/>
      <c r="AJ9" s="2"/>
      <c r="AK9" s="2"/>
      <c r="AL9" s="2">
        <f>G10</f>
        <v>500</v>
      </c>
      <c r="AM9" s="2">
        <f>+AL9</f>
        <v>500</v>
      </c>
      <c r="AO9" s="2">
        <v>1</v>
      </c>
      <c r="AP9" s="2" t="s">
        <v>11</v>
      </c>
      <c r="AQ9" s="2" t="s">
        <v>6</v>
      </c>
      <c r="AR9" s="2"/>
      <c r="AS9" s="2">
        <f>G10</f>
        <v>500</v>
      </c>
      <c r="AT9" s="2"/>
      <c r="AU9" s="2">
        <f>+AS9</f>
        <v>500</v>
      </c>
      <c r="AW9" s="2">
        <v>1</v>
      </c>
      <c r="AX9" s="2" t="s">
        <v>11</v>
      </c>
      <c r="AY9" s="2"/>
      <c r="AZ9" s="2"/>
      <c r="BA9" s="2"/>
      <c r="BB9" s="2"/>
      <c r="BC9" s="2">
        <f>+BB9</f>
        <v>0</v>
      </c>
      <c r="BE9" s="2">
        <v>1</v>
      </c>
      <c r="BF9" s="2" t="s">
        <v>11</v>
      </c>
      <c r="BG9" s="2" t="s">
        <v>6</v>
      </c>
      <c r="BH9" s="2"/>
      <c r="BI9" s="2"/>
      <c r="BJ9" s="2"/>
      <c r="BK9" s="2">
        <f>+BI9</f>
        <v>0</v>
      </c>
    </row>
    <row r="10" spans="2:63" x14ac:dyDescent="0.25">
      <c r="B10" s="2">
        <v>2</v>
      </c>
      <c r="C10" s="3" t="s">
        <v>11</v>
      </c>
      <c r="D10" s="2" t="s">
        <v>17</v>
      </c>
      <c r="E10" s="2">
        <v>300</v>
      </c>
      <c r="F10" s="2"/>
      <c r="G10" s="2">
        <v>500</v>
      </c>
      <c r="H10" s="13"/>
      <c r="I10" s="16" t="s">
        <v>6</v>
      </c>
      <c r="J10" s="13"/>
      <c r="K10" s="13">
        <f>W16</f>
        <v>200</v>
      </c>
      <c r="L10" s="13"/>
      <c r="M10" s="13"/>
      <c r="N10" s="13"/>
      <c r="O10" s="13"/>
      <c r="Q10" s="2"/>
      <c r="R10" s="2"/>
      <c r="S10" s="2"/>
      <c r="T10" s="2"/>
      <c r="U10" s="2"/>
      <c r="V10" s="2">
        <f>G13</f>
        <v>300</v>
      </c>
      <c r="W10" s="2">
        <f>W9+U10-V10</f>
        <v>200</v>
      </c>
      <c r="Y10" s="2"/>
      <c r="Z10" s="2"/>
      <c r="AA10" s="2"/>
      <c r="AB10" s="2"/>
      <c r="AC10" s="2"/>
      <c r="AD10" s="2"/>
      <c r="AE10" s="2">
        <f>+AE9+AD10-AC10</f>
        <v>0</v>
      </c>
      <c r="AG10" s="2"/>
      <c r="AH10" s="2"/>
      <c r="AI10" s="2"/>
      <c r="AJ10" s="2"/>
      <c r="AK10" s="2"/>
      <c r="AL10" s="2"/>
      <c r="AM10" s="2">
        <f>+AM9+AL10-AK10</f>
        <v>500</v>
      </c>
      <c r="AO10" s="2"/>
      <c r="AP10" s="2"/>
      <c r="AQ10" s="2"/>
      <c r="AR10" s="2"/>
      <c r="AS10" s="2"/>
      <c r="AT10" s="2"/>
      <c r="AU10" s="2">
        <f>AU9+AS10-AT10</f>
        <v>500</v>
      </c>
      <c r="AW10" s="2"/>
      <c r="AX10" s="2"/>
      <c r="AY10" s="2"/>
      <c r="AZ10" s="2"/>
      <c r="BA10" s="2"/>
      <c r="BB10" s="2"/>
      <c r="BC10" s="2">
        <f>+BC9+BB10-BA10</f>
        <v>0</v>
      </c>
      <c r="BE10" s="2"/>
      <c r="BF10" s="2"/>
      <c r="BG10" s="2"/>
      <c r="BH10" s="2"/>
      <c r="BI10" s="2"/>
      <c r="BJ10" s="2"/>
      <c r="BK10" s="2">
        <f>BK9+BI10-BJ10</f>
        <v>0</v>
      </c>
    </row>
    <row r="11" spans="2:63" x14ac:dyDescent="0.25">
      <c r="B11" s="2"/>
      <c r="C11" s="3"/>
      <c r="D11" s="2"/>
      <c r="E11" s="2"/>
      <c r="F11" s="2"/>
      <c r="G11" s="2"/>
      <c r="H11" s="13"/>
      <c r="I11" s="16" t="s">
        <v>50</v>
      </c>
      <c r="J11" s="13"/>
      <c r="K11" s="13">
        <f>W23</f>
        <v>300</v>
      </c>
      <c r="L11" s="13"/>
      <c r="M11" s="13"/>
      <c r="N11" s="13"/>
      <c r="O11" s="13"/>
      <c r="Q11" s="2"/>
      <c r="R11" s="2"/>
      <c r="S11" s="2"/>
      <c r="T11" s="2"/>
      <c r="U11" s="2"/>
      <c r="V11" s="2"/>
      <c r="W11" s="2">
        <f t="shared" ref="W11:W16" si="0">W10+U11-V11</f>
        <v>200</v>
      </c>
      <c r="Y11" s="2"/>
      <c r="Z11" s="2"/>
      <c r="AA11" s="2"/>
      <c r="AB11" s="2"/>
      <c r="AC11" s="2"/>
      <c r="AD11" s="2"/>
      <c r="AE11" s="2"/>
      <c r="AG11" s="2"/>
      <c r="AH11" s="2"/>
      <c r="AI11" s="2"/>
      <c r="AJ11" s="2"/>
      <c r="AK11" s="2"/>
      <c r="AL11" s="2"/>
      <c r="AM11" s="2">
        <f t="shared" ref="AM11:AM12" si="1">+AM10+AL11-AK11</f>
        <v>500</v>
      </c>
      <c r="AO11" s="2"/>
      <c r="AP11" s="2"/>
      <c r="AQ11" s="2"/>
      <c r="AR11" s="2"/>
      <c r="AS11" s="2"/>
      <c r="AT11" s="2"/>
      <c r="AU11" s="2"/>
      <c r="AW11" s="2"/>
      <c r="AX11" s="2"/>
      <c r="AY11" s="2"/>
      <c r="AZ11" s="2"/>
      <c r="BA11" s="2"/>
      <c r="BB11" s="2"/>
      <c r="BC11" s="2"/>
      <c r="BE11" s="2"/>
      <c r="BF11" s="2"/>
      <c r="BG11" s="2"/>
      <c r="BH11" s="2"/>
      <c r="BI11" s="2"/>
      <c r="BJ11" s="2"/>
      <c r="BK11" s="2"/>
    </row>
    <row r="12" spans="2:63" x14ac:dyDescent="0.25">
      <c r="B12" s="2">
        <v>3</v>
      </c>
      <c r="C12" s="3" t="s">
        <v>49</v>
      </c>
      <c r="D12" s="2" t="s">
        <v>42</v>
      </c>
      <c r="E12" s="2">
        <v>101</v>
      </c>
      <c r="F12" s="2">
        <v>300</v>
      </c>
      <c r="G12" s="2"/>
      <c r="H12" s="13"/>
      <c r="I12" s="16" t="s">
        <v>40</v>
      </c>
      <c r="J12" s="13"/>
      <c r="K12" s="13"/>
      <c r="L12" s="13"/>
      <c r="M12" s="13"/>
      <c r="N12" s="13"/>
      <c r="O12" s="13"/>
      <c r="Q12" s="2"/>
      <c r="R12" s="2"/>
      <c r="S12" s="2"/>
      <c r="T12" s="2"/>
      <c r="U12" s="2"/>
      <c r="V12" s="2"/>
      <c r="W12" s="2">
        <f t="shared" si="0"/>
        <v>200</v>
      </c>
      <c r="Y12" s="2"/>
      <c r="Z12" s="2"/>
      <c r="AA12" s="2"/>
      <c r="AB12" s="2"/>
      <c r="AC12" s="2"/>
      <c r="AD12" s="2"/>
      <c r="AE12" s="2"/>
      <c r="AG12" s="2"/>
      <c r="AH12" s="2"/>
      <c r="AI12" s="2"/>
      <c r="AJ12" s="2"/>
      <c r="AK12" s="2"/>
      <c r="AL12" s="2"/>
      <c r="AM12" s="2">
        <f t="shared" si="1"/>
        <v>500</v>
      </c>
      <c r="AO12" s="2"/>
      <c r="AP12" s="2"/>
      <c r="AQ12" s="2"/>
      <c r="AR12" s="2"/>
      <c r="AS12" s="2"/>
      <c r="AT12" s="2"/>
      <c r="AU12" s="2"/>
      <c r="AW12" s="2"/>
      <c r="AX12" s="2"/>
      <c r="AY12" s="2"/>
      <c r="AZ12" s="2"/>
      <c r="BA12" s="2"/>
      <c r="BB12" s="2"/>
      <c r="BC12" s="2"/>
      <c r="BE12" s="2"/>
      <c r="BF12" s="2"/>
      <c r="BG12" s="2"/>
      <c r="BH12" s="2"/>
      <c r="BI12" s="2"/>
      <c r="BJ12" s="2"/>
      <c r="BK12" s="2"/>
    </row>
    <row r="13" spans="2:63" x14ac:dyDescent="0.25">
      <c r="B13" s="2">
        <v>4</v>
      </c>
      <c r="C13" s="3" t="s">
        <v>49</v>
      </c>
      <c r="D13" s="2" t="s">
        <v>6</v>
      </c>
      <c r="E13" s="2">
        <v>100</v>
      </c>
      <c r="F13" s="2"/>
      <c r="G13" s="2">
        <v>300</v>
      </c>
      <c r="H13" s="13"/>
      <c r="I13" s="16"/>
      <c r="J13" s="13"/>
      <c r="K13" s="13"/>
      <c r="L13" s="13"/>
      <c r="M13" s="13"/>
      <c r="N13" s="13"/>
      <c r="O13" s="13"/>
      <c r="Q13" s="2"/>
      <c r="R13" s="2"/>
      <c r="S13" s="2"/>
      <c r="T13" s="2"/>
      <c r="U13" s="2"/>
      <c r="V13" s="2"/>
      <c r="W13" s="2">
        <f t="shared" si="0"/>
        <v>200</v>
      </c>
    </row>
    <row r="14" spans="2:63" x14ac:dyDescent="0.25">
      <c r="B14" s="23"/>
      <c r="C14" s="24"/>
      <c r="D14" s="24"/>
      <c r="E14" s="24"/>
      <c r="F14" s="24"/>
      <c r="G14" s="25"/>
      <c r="H14" s="13"/>
      <c r="I14" s="16"/>
      <c r="J14" s="13"/>
      <c r="K14" s="13"/>
      <c r="L14" s="13"/>
      <c r="M14" s="13"/>
      <c r="N14" s="13"/>
      <c r="O14" s="13"/>
      <c r="Q14" s="2"/>
      <c r="R14" s="2"/>
      <c r="S14" s="2"/>
      <c r="T14" s="2"/>
      <c r="U14" s="2"/>
      <c r="V14" s="2"/>
      <c r="W14" s="2">
        <f t="shared" si="0"/>
        <v>200</v>
      </c>
    </row>
    <row r="15" spans="2:63" ht="18.75" x14ac:dyDescent="0.3">
      <c r="B15" s="2">
        <v>5</v>
      </c>
      <c r="C15" s="3" t="s">
        <v>11</v>
      </c>
      <c r="D15" s="2" t="s">
        <v>44</v>
      </c>
      <c r="E15" s="2"/>
      <c r="F15" s="2">
        <v>50</v>
      </c>
      <c r="G15" s="2"/>
      <c r="H15" s="13"/>
      <c r="I15" s="15" t="s">
        <v>36</v>
      </c>
      <c r="J15" s="13"/>
      <c r="K15" s="17">
        <f>K10+K11</f>
        <v>500</v>
      </c>
      <c r="L15" s="13"/>
      <c r="M15" s="13"/>
      <c r="N15" s="13"/>
      <c r="O15" s="13"/>
      <c r="Q15" s="2"/>
      <c r="R15" s="2"/>
      <c r="S15" s="2"/>
      <c r="T15" s="2"/>
      <c r="U15" s="2"/>
      <c r="V15" s="2"/>
      <c r="W15" s="2">
        <f t="shared" si="0"/>
        <v>200</v>
      </c>
    </row>
    <row r="16" spans="2:63" x14ac:dyDescent="0.25">
      <c r="B16" s="2">
        <v>6</v>
      </c>
      <c r="C16" s="3" t="s">
        <v>11</v>
      </c>
      <c r="D16" s="2" t="s">
        <v>6</v>
      </c>
      <c r="E16" s="2"/>
      <c r="F16" s="2"/>
      <c r="G16" s="2">
        <v>50</v>
      </c>
      <c r="H16" s="13"/>
      <c r="I16" s="16"/>
      <c r="J16" s="13"/>
      <c r="K16" s="13"/>
      <c r="L16" s="13"/>
      <c r="M16" s="13"/>
      <c r="N16" s="13"/>
      <c r="O16" s="13"/>
      <c r="Q16" s="2"/>
      <c r="R16" s="2"/>
      <c r="S16" s="2"/>
      <c r="T16" s="2"/>
      <c r="U16" s="2"/>
      <c r="V16" s="2"/>
      <c r="W16" s="2">
        <f t="shared" si="0"/>
        <v>200</v>
      </c>
    </row>
    <row r="17" spans="2:24" x14ac:dyDescent="0.25">
      <c r="B17" s="23"/>
      <c r="C17" s="24"/>
      <c r="D17" s="24"/>
      <c r="E17" s="24"/>
      <c r="F17" s="24"/>
      <c r="G17" s="25"/>
      <c r="H17" s="13"/>
      <c r="I17" s="16" t="s">
        <v>16</v>
      </c>
      <c r="J17" s="13"/>
      <c r="K17" s="13"/>
      <c r="L17" s="13"/>
      <c r="M17" s="13"/>
      <c r="N17" s="13"/>
      <c r="O17" s="13"/>
    </row>
    <row r="18" spans="2:24" ht="15.75" x14ac:dyDescent="0.25">
      <c r="B18" s="2">
        <v>7</v>
      </c>
      <c r="C18" s="3" t="s">
        <v>11</v>
      </c>
      <c r="D18" s="2" t="s">
        <v>47</v>
      </c>
      <c r="E18" s="2"/>
      <c r="F18" s="2">
        <v>100</v>
      </c>
      <c r="G18" s="2"/>
      <c r="H18" s="13"/>
      <c r="I18" s="16" t="s">
        <v>18</v>
      </c>
      <c r="J18" s="13"/>
      <c r="K18" s="13"/>
      <c r="L18" s="13"/>
      <c r="M18" s="13"/>
      <c r="N18" s="13"/>
      <c r="O18" s="13"/>
      <c r="Q18" s="8" t="s">
        <v>42</v>
      </c>
      <c r="R18" s="7"/>
      <c r="S18" s="7"/>
      <c r="T18" s="7"/>
      <c r="U18" s="22"/>
      <c r="V18" s="30" t="s">
        <v>48</v>
      </c>
      <c r="W18" s="31"/>
    </row>
    <row r="19" spans="2:24" x14ac:dyDescent="0.25">
      <c r="B19" s="2">
        <v>8</v>
      </c>
      <c r="C19" s="3" t="s">
        <v>11</v>
      </c>
      <c r="D19" s="2" t="s">
        <v>6</v>
      </c>
      <c r="E19" s="2"/>
      <c r="F19" s="2"/>
      <c r="G19" s="2">
        <v>100</v>
      </c>
      <c r="H19" s="13"/>
      <c r="I19" s="15" t="s">
        <v>37</v>
      </c>
      <c r="J19" s="13"/>
      <c r="K19" s="13"/>
      <c r="L19" s="13"/>
      <c r="M19" s="13"/>
      <c r="N19" s="13"/>
      <c r="O19" s="13"/>
      <c r="Q19" s="5" t="s">
        <v>0</v>
      </c>
      <c r="R19" s="5" t="s">
        <v>1</v>
      </c>
      <c r="S19" s="5" t="s">
        <v>8</v>
      </c>
      <c r="T19" s="5" t="s">
        <v>2</v>
      </c>
      <c r="U19" s="5" t="s">
        <v>13</v>
      </c>
      <c r="V19" s="5" t="s">
        <v>14</v>
      </c>
      <c r="W19" s="5" t="s">
        <v>9</v>
      </c>
      <c r="X19" s="1" t="s">
        <v>10</v>
      </c>
    </row>
    <row r="20" spans="2:24" x14ac:dyDescent="0.25">
      <c r="B20" s="23"/>
      <c r="C20" s="24"/>
      <c r="D20" s="24"/>
      <c r="E20" s="24"/>
      <c r="F20" s="24"/>
      <c r="G20" s="25"/>
      <c r="H20" s="13"/>
      <c r="I20" s="16"/>
      <c r="J20" s="13"/>
      <c r="K20" s="13"/>
      <c r="L20" s="13"/>
      <c r="M20" s="13"/>
      <c r="N20" s="13"/>
      <c r="O20" s="13"/>
      <c r="Q20" s="2">
        <v>1</v>
      </c>
      <c r="R20" s="3" t="s">
        <v>49</v>
      </c>
      <c r="S20" s="2" t="s">
        <v>6</v>
      </c>
      <c r="T20" s="2"/>
      <c r="U20" s="2">
        <f>F12</f>
        <v>300</v>
      </c>
      <c r="V20" s="2"/>
      <c r="W20" s="2">
        <f>+U20</f>
        <v>300</v>
      </c>
    </row>
    <row r="21" spans="2:24" x14ac:dyDescent="0.25">
      <c r="B21" s="2">
        <v>9</v>
      </c>
      <c r="C21" s="3" t="s">
        <v>11</v>
      </c>
      <c r="D21" s="2" t="s">
        <v>45</v>
      </c>
      <c r="E21" s="2"/>
      <c r="F21" s="2">
        <v>300</v>
      </c>
      <c r="G21" s="2"/>
      <c r="H21" s="13"/>
      <c r="I21" s="16" t="s">
        <v>21</v>
      </c>
      <c r="J21" s="13"/>
      <c r="K21" s="13"/>
      <c r="L21" s="13"/>
      <c r="M21" s="13"/>
      <c r="N21" s="13"/>
      <c r="O21" s="13"/>
      <c r="Q21" s="2"/>
      <c r="R21" s="2"/>
      <c r="S21" s="2"/>
      <c r="T21" s="2"/>
      <c r="U21" s="2"/>
      <c r="V21" s="2"/>
      <c r="W21" s="2">
        <f>W20+U21-V21</f>
        <v>300</v>
      </c>
    </row>
    <row r="22" spans="2:24" x14ac:dyDescent="0.25">
      <c r="B22" s="2">
        <v>10</v>
      </c>
      <c r="C22" s="3" t="s">
        <v>11</v>
      </c>
      <c r="D22" s="2" t="s">
        <v>6</v>
      </c>
      <c r="E22" s="2"/>
      <c r="F22" s="2"/>
      <c r="G22" s="2">
        <v>300</v>
      </c>
      <c r="H22" s="13"/>
      <c r="I22" s="16" t="s">
        <v>17</v>
      </c>
      <c r="J22" s="13"/>
      <c r="K22" s="13">
        <f>AM12</f>
        <v>500</v>
      </c>
      <c r="L22" s="13"/>
      <c r="M22" s="13"/>
      <c r="N22" s="13"/>
      <c r="O22" s="13"/>
      <c r="Q22" s="2"/>
      <c r="R22" s="2"/>
      <c r="S22" s="2"/>
      <c r="T22" s="2"/>
      <c r="U22" s="2"/>
      <c r="V22" s="2"/>
      <c r="W22" s="2">
        <f t="shared" ref="W22:W23" si="2">W21+U22-V22</f>
        <v>300</v>
      </c>
    </row>
    <row r="23" spans="2:24" x14ac:dyDescent="0.25">
      <c r="B23" s="23"/>
      <c r="C23" s="24"/>
      <c r="D23" s="24"/>
      <c r="E23" s="24"/>
      <c r="F23" s="24"/>
      <c r="G23" s="25"/>
      <c r="H23" s="13"/>
      <c r="I23" s="16" t="s">
        <v>38</v>
      </c>
      <c r="J23" s="13"/>
      <c r="K23" s="13">
        <f>K22</f>
        <v>500</v>
      </c>
      <c r="L23" s="13"/>
      <c r="M23" s="13"/>
      <c r="N23" s="13"/>
      <c r="O23" s="13"/>
      <c r="Q23" s="2"/>
      <c r="R23" s="2"/>
      <c r="S23" s="2"/>
      <c r="T23" s="2"/>
      <c r="U23" s="2"/>
      <c r="V23" s="2"/>
      <c r="W23" s="2">
        <f t="shared" si="2"/>
        <v>300</v>
      </c>
    </row>
    <row r="24" spans="2:24" x14ac:dyDescent="0.25">
      <c r="B24" s="2">
        <v>11</v>
      </c>
      <c r="C24" s="3" t="s">
        <v>11</v>
      </c>
      <c r="D24" s="2" t="s">
        <v>46</v>
      </c>
      <c r="E24" s="2"/>
      <c r="F24" s="2">
        <v>100</v>
      </c>
      <c r="G24" s="2"/>
      <c r="H24" s="13"/>
      <c r="I24" s="16"/>
      <c r="J24" s="13"/>
      <c r="K24" s="13"/>
      <c r="L24" s="13"/>
      <c r="M24" s="13"/>
      <c r="N24" s="13"/>
      <c r="O24" s="13"/>
    </row>
    <row r="25" spans="2:24" ht="18.75" x14ac:dyDescent="0.3">
      <c r="B25" s="2">
        <v>12</v>
      </c>
      <c r="C25" s="3" t="s">
        <v>11</v>
      </c>
      <c r="D25" s="2" t="s">
        <v>6</v>
      </c>
      <c r="E25" s="2"/>
      <c r="F25" s="2"/>
      <c r="G25" s="2">
        <v>100</v>
      </c>
      <c r="H25" s="13"/>
      <c r="I25" s="15" t="s">
        <v>39</v>
      </c>
      <c r="J25" s="13"/>
      <c r="K25" s="17">
        <f>+K23</f>
        <v>500</v>
      </c>
      <c r="L25" s="13"/>
      <c r="M25" s="13"/>
      <c r="N25" s="13"/>
      <c r="O25" s="13"/>
    </row>
    <row r="26" spans="2:24" x14ac:dyDescent="0.25">
      <c r="B26" s="23"/>
      <c r="C26" s="24"/>
      <c r="D26" s="24"/>
      <c r="E26" s="24"/>
      <c r="F26" s="24"/>
      <c r="G26" s="25"/>
      <c r="H26" s="13"/>
      <c r="I26" s="13"/>
      <c r="J26" s="13"/>
      <c r="K26" s="13"/>
      <c r="L26" s="13"/>
      <c r="M26" s="13"/>
      <c r="N26" s="13"/>
      <c r="O26" s="13"/>
    </row>
    <row r="27" spans="2:24" x14ac:dyDescent="0.25">
      <c r="B27" s="2"/>
      <c r="C27" s="2"/>
      <c r="D27" s="2"/>
      <c r="E27" s="2"/>
      <c r="F27" s="2"/>
      <c r="G27" s="2"/>
      <c r="H27" s="13"/>
      <c r="I27" s="13"/>
      <c r="J27" s="13"/>
      <c r="K27" s="13"/>
      <c r="L27" s="13"/>
      <c r="M27" s="13"/>
      <c r="N27" s="13"/>
      <c r="O27" s="13"/>
    </row>
    <row r="28" spans="2:24" x14ac:dyDescent="0.25">
      <c r="B28" s="2"/>
      <c r="C28" s="2"/>
      <c r="D28" s="2"/>
      <c r="E28" s="2"/>
      <c r="F28" s="2"/>
      <c r="G28" s="2"/>
      <c r="H28" s="13"/>
      <c r="I28" s="13"/>
      <c r="J28" s="13"/>
      <c r="K28" s="13"/>
      <c r="L28" s="13"/>
      <c r="M28" s="13"/>
      <c r="N28" s="13"/>
      <c r="O28" s="13"/>
    </row>
    <row r="29" spans="2:24" x14ac:dyDescent="0.25">
      <c r="B29" s="2"/>
      <c r="C29" s="2"/>
      <c r="D29" s="2"/>
      <c r="E29" s="2"/>
      <c r="F29" s="2"/>
      <c r="G29" s="2"/>
      <c r="H29" s="13"/>
      <c r="I29" s="13"/>
      <c r="J29" s="13"/>
      <c r="K29" s="13"/>
      <c r="L29" s="13"/>
      <c r="M29" s="13"/>
      <c r="N29" s="13"/>
      <c r="O29" s="13"/>
    </row>
    <row r="30" spans="2:24" x14ac:dyDescent="0.25">
      <c r="B30" s="2"/>
      <c r="C30" s="2"/>
      <c r="D30" s="2"/>
      <c r="E30" s="2"/>
      <c r="F30" s="2"/>
      <c r="G30" s="2"/>
      <c r="H30" s="13"/>
      <c r="I30" s="13"/>
      <c r="J30" s="13"/>
      <c r="K30" s="13"/>
      <c r="L30" s="13"/>
      <c r="M30" s="13"/>
      <c r="N30" s="13"/>
      <c r="O30" s="13"/>
    </row>
    <row r="31" spans="2:24" x14ac:dyDescent="0.25">
      <c r="B31" s="2"/>
      <c r="C31" s="2"/>
      <c r="D31" s="2"/>
      <c r="E31" s="2"/>
      <c r="F31" s="2"/>
      <c r="G31" s="2"/>
      <c r="H31" s="13"/>
      <c r="I31" s="13"/>
      <c r="J31" s="13"/>
      <c r="K31" s="13"/>
      <c r="L31" s="13"/>
      <c r="M31" s="13"/>
      <c r="N31" s="13"/>
      <c r="O31" s="13"/>
    </row>
    <row r="32" spans="2:24" x14ac:dyDescent="0.25">
      <c r="B32" s="2"/>
      <c r="C32" s="2"/>
      <c r="D32" s="2"/>
      <c r="E32" s="2"/>
      <c r="F32" s="2"/>
      <c r="G32" s="2"/>
      <c r="H32" s="13"/>
      <c r="I32" s="13"/>
      <c r="J32" s="13"/>
      <c r="K32" s="13"/>
      <c r="L32" s="13"/>
      <c r="M32" s="13"/>
      <c r="N32" s="13"/>
      <c r="O32" s="13"/>
    </row>
    <row r="33" spans="2:7" x14ac:dyDescent="0.25">
      <c r="B33" s="2"/>
      <c r="C33" s="2"/>
      <c r="D33" s="2"/>
      <c r="E33" s="2"/>
      <c r="F33" s="2"/>
      <c r="G33" s="2"/>
    </row>
    <row r="34" spans="2:7" x14ac:dyDescent="0.25">
      <c r="B34" s="2"/>
      <c r="C34" s="2"/>
      <c r="D34" s="2"/>
      <c r="E34" s="2"/>
      <c r="F34" s="2"/>
      <c r="G34" s="2"/>
    </row>
    <row r="35" spans="2:7" x14ac:dyDescent="0.25">
      <c r="B35" s="2"/>
      <c r="C35" s="2"/>
      <c r="D35" s="2"/>
      <c r="E35" s="2"/>
      <c r="F35" s="2"/>
      <c r="G35" s="2"/>
    </row>
    <row r="36" spans="2:7" x14ac:dyDescent="0.25">
      <c r="B36" s="2"/>
      <c r="C36" s="2"/>
      <c r="D36" s="2"/>
      <c r="E36" s="2"/>
      <c r="F36" s="2"/>
      <c r="G36" s="2"/>
    </row>
    <row r="37" spans="2:7" x14ac:dyDescent="0.25">
      <c r="B37" s="2"/>
      <c r="C37" s="2"/>
      <c r="D37" s="2"/>
      <c r="E37" s="2"/>
      <c r="F37" s="2"/>
      <c r="G37" s="2"/>
    </row>
    <row r="38" spans="2:7" x14ac:dyDescent="0.25">
      <c r="B38" s="2"/>
      <c r="C38" s="2"/>
      <c r="D38" s="2"/>
      <c r="E38" s="2"/>
      <c r="F38" s="2"/>
      <c r="G38" s="2"/>
    </row>
  </sheetData>
  <mergeCells count="19">
    <mergeCell ref="V18:W18"/>
    <mergeCell ref="I8:K8"/>
    <mergeCell ref="M7:O7"/>
    <mergeCell ref="M8:O8"/>
    <mergeCell ref="AG4:BK4"/>
    <mergeCell ref="Y5:AE5"/>
    <mergeCell ref="AD7:AE7"/>
    <mergeCell ref="AG5:AM5"/>
    <mergeCell ref="AL7:AM7"/>
    <mergeCell ref="AO5:AU5"/>
    <mergeCell ref="AT7:AU7"/>
    <mergeCell ref="BE5:BK5"/>
    <mergeCell ref="BJ7:BK7"/>
    <mergeCell ref="B7:G7"/>
    <mergeCell ref="AW5:BC5"/>
    <mergeCell ref="BB7:BC7"/>
    <mergeCell ref="Q5:W5"/>
    <mergeCell ref="V7:W7"/>
    <mergeCell ref="I7:K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R48"/>
  <sheetViews>
    <sheetView tabSelected="1" workbookViewId="0">
      <selection activeCell="F42" sqref="F42"/>
    </sheetView>
  </sheetViews>
  <sheetFormatPr defaultRowHeight="15" x14ac:dyDescent="0.25"/>
  <cols>
    <col min="1" max="4" width="9.140625" style="1"/>
    <col min="5" max="5" width="4.140625" style="1" bestFit="1" customWidth="1"/>
    <col min="6" max="6" width="22" style="1" bestFit="1" customWidth="1"/>
    <col min="7" max="7" width="5.85546875" style="1" bestFit="1" customWidth="1"/>
    <col min="8" max="8" width="6.42578125" style="1" bestFit="1" customWidth="1"/>
    <col min="9" max="9" width="8" style="1" customWidth="1"/>
    <col min="10" max="13" width="9.140625" style="1"/>
    <col min="14" max="14" width="10.140625" style="1" bestFit="1" customWidth="1"/>
    <col min="15" max="17" width="9.140625" style="1"/>
    <col min="18" max="18" width="15" style="1" bestFit="1" customWidth="1"/>
    <col min="19" max="16384" width="9.140625" style="1"/>
  </cols>
  <sheetData>
    <row r="3" spans="5:9" ht="15.75" thickBot="1" x14ac:dyDescent="0.3"/>
    <row r="4" spans="5:9" ht="15.75" thickBot="1" x14ac:dyDescent="0.3">
      <c r="E4" s="19" t="s">
        <v>0</v>
      </c>
      <c r="F4" s="20" t="s">
        <v>8</v>
      </c>
      <c r="G4" s="20" t="s">
        <v>41</v>
      </c>
      <c r="H4" s="20" t="s">
        <v>4</v>
      </c>
      <c r="I4" s="21" t="s">
        <v>9</v>
      </c>
    </row>
    <row r="5" spans="5:9" x14ac:dyDescent="0.25">
      <c r="E5" s="18">
        <v>1</v>
      </c>
      <c r="F5" s="18" t="s">
        <v>6</v>
      </c>
      <c r="G5" s="18">
        <v>5000</v>
      </c>
      <c r="H5" s="18"/>
      <c r="I5" s="18">
        <f>G5</f>
        <v>5000</v>
      </c>
    </row>
    <row r="6" spans="5:9" x14ac:dyDescent="0.25">
      <c r="E6" s="2">
        <v>2</v>
      </c>
      <c r="F6" s="2" t="s">
        <v>42</v>
      </c>
      <c r="G6" s="2"/>
      <c r="H6" s="2">
        <v>300</v>
      </c>
      <c r="I6" s="2">
        <f>I5+G6-H6</f>
        <v>4700</v>
      </c>
    </row>
    <row r="7" spans="5:9" x14ac:dyDescent="0.25">
      <c r="E7" s="2">
        <v>3</v>
      </c>
      <c r="F7" s="2" t="s">
        <v>43</v>
      </c>
      <c r="G7" s="2"/>
      <c r="H7" s="2">
        <v>200</v>
      </c>
      <c r="I7" s="2">
        <f t="shared" ref="I7:I11" si="0">I6+G7-H7</f>
        <v>4500</v>
      </c>
    </row>
    <row r="8" spans="5:9" x14ac:dyDescent="0.25">
      <c r="E8" s="2">
        <v>4</v>
      </c>
      <c r="F8" s="2" t="s">
        <v>44</v>
      </c>
      <c r="G8" s="2"/>
      <c r="H8" s="2">
        <v>50</v>
      </c>
      <c r="I8" s="2">
        <f t="shared" si="0"/>
        <v>4450</v>
      </c>
    </row>
    <row r="9" spans="5:9" x14ac:dyDescent="0.25">
      <c r="E9" s="2">
        <v>5</v>
      </c>
      <c r="F9" s="2" t="s">
        <v>47</v>
      </c>
      <c r="G9" s="2"/>
      <c r="H9" s="2">
        <v>100</v>
      </c>
      <c r="I9" s="2">
        <f t="shared" si="0"/>
        <v>4350</v>
      </c>
    </row>
    <row r="10" spans="5:9" x14ac:dyDescent="0.25">
      <c r="E10" s="2">
        <v>6</v>
      </c>
      <c r="F10" s="2" t="s">
        <v>45</v>
      </c>
      <c r="G10" s="2"/>
      <c r="H10" s="2">
        <v>250</v>
      </c>
      <c r="I10" s="2">
        <f t="shared" si="0"/>
        <v>4100</v>
      </c>
    </row>
    <row r="11" spans="5:9" x14ac:dyDescent="0.25">
      <c r="E11" s="2">
        <v>7</v>
      </c>
      <c r="F11" s="2" t="s">
        <v>46</v>
      </c>
      <c r="G11" s="2"/>
      <c r="H11" s="2">
        <v>100</v>
      </c>
      <c r="I11" s="2">
        <f t="shared" si="0"/>
        <v>4000</v>
      </c>
    </row>
    <row r="12" spans="5:9" ht="15.75" thickBot="1" x14ac:dyDescent="0.3"/>
    <row r="13" spans="5:9" ht="15.75" thickBot="1" x14ac:dyDescent="0.3">
      <c r="E13" s="19" t="s">
        <v>0</v>
      </c>
      <c r="F13" s="20" t="s">
        <v>8</v>
      </c>
      <c r="G13" s="20" t="s">
        <v>41</v>
      </c>
      <c r="H13" s="20" t="s">
        <v>4</v>
      </c>
      <c r="I13" s="21" t="s">
        <v>9</v>
      </c>
    </row>
    <row r="14" spans="5:9" x14ac:dyDescent="0.25">
      <c r="E14" s="18">
        <v>1</v>
      </c>
      <c r="F14" s="18" t="s">
        <v>6</v>
      </c>
      <c r="G14" s="18">
        <f>I11</f>
        <v>4000</v>
      </c>
      <c r="H14" s="18"/>
      <c r="I14" s="18">
        <f>G14</f>
        <v>4000</v>
      </c>
    </row>
    <row r="15" spans="5:9" x14ac:dyDescent="0.25">
      <c r="E15" s="2">
        <v>2</v>
      </c>
      <c r="F15" s="2" t="s">
        <v>42</v>
      </c>
      <c r="G15" s="2"/>
      <c r="H15" s="2"/>
      <c r="I15" s="2">
        <f>I14+G15-H15</f>
        <v>4000</v>
      </c>
    </row>
    <row r="16" spans="5:9" x14ac:dyDescent="0.25">
      <c r="E16" s="2">
        <v>3</v>
      </c>
      <c r="F16" s="2" t="s">
        <v>43</v>
      </c>
      <c r="G16" s="2"/>
      <c r="H16" s="2"/>
      <c r="I16" s="2">
        <f t="shared" ref="I16:I20" si="1">I15+G16-H16</f>
        <v>4000</v>
      </c>
    </row>
    <row r="17" spans="5:18" x14ac:dyDescent="0.25">
      <c r="E17" s="2">
        <v>4</v>
      </c>
      <c r="F17" s="2" t="s">
        <v>44</v>
      </c>
      <c r="G17" s="2"/>
      <c r="H17" s="2">
        <v>50</v>
      </c>
      <c r="I17" s="2">
        <f t="shared" si="1"/>
        <v>3950</v>
      </c>
      <c r="M17" s="1" t="s">
        <v>54</v>
      </c>
      <c r="N17" s="1" t="s">
        <v>51</v>
      </c>
      <c r="O17" s="1" t="s">
        <v>52</v>
      </c>
      <c r="P17" s="1" t="s">
        <v>53</v>
      </c>
      <c r="Q17" s="1" t="s">
        <v>55</v>
      </c>
      <c r="R17" s="1" t="s">
        <v>56</v>
      </c>
    </row>
    <row r="18" spans="5:18" x14ac:dyDescent="0.25">
      <c r="E18" s="2">
        <v>5</v>
      </c>
      <c r="F18" s="2" t="s">
        <v>47</v>
      </c>
      <c r="G18" s="2"/>
      <c r="H18" s="2">
        <v>100</v>
      </c>
      <c r="I18" s="2">
        <f t="shared" si="1"/>
        <v>3850</v>
      </c>
    </row>
    <row r="19" spans="5:18" x14ac:dyDescent="0.25">
      <c r="E19" s="2">
        <v>6</v>
      </c>
      <c r="F19" s="2" t="s">
        <v>45</v>
      </c>
      <c r="G19" s="2"/>
      <c r="H19" s="2">
        <v>250</v>
      </c>
      <c r="I19" s="2">
        <f t="shared" si="1"/>
        <v>3600</v>
      </c>
    </row>
    <row r="20" spans="5:18" x14ac:dyDescent="0.25">
      <c r="E20" s="2">
        <v>7</v>
      </c>
      <c r="F20" s="2" t="s">
        <v>46</v>
      </c>
      <c r="G20" s="2"/>
      <c r="H20" s="2">
        <v>100</v>
      </c>
      <c r="I20" s="2">
        <f t="shared" si="1"/>
        <v>3500</v>
      </c>
    </row>
    <row r="21" spans="5:18" ht="15.75" thickBot="1" x14ac:dyDescent="0.3">
      <c r="H21" s="1">
        <f>SUM(H17+H18+H19+H20)</f>
        <v>500</v>
      </c>
    </row>
    <row r="22" spans="5:18" ht="15.75" thickBot="1" x14ac:dyDescent="0.3">
      <c r="E22" s="19" t="s">
        <v>0</v>
      </c>
      <c r="F22" s="20" t="s">
        <v>8</v>
      </c>
      <c r="G22" s="20" t="s">
        <v>41</v>
      </c>
      <c r="H22" s="20" t="s">
        <v>4</v>
      </c>
      <c r="I22" s="21" t="s">
        <v>9</v>
      </c>
    </row>
    <row r="23" spans="5:18" x14ac:dyDescent="0.25">
      <c r="E23" s="18">
        <v>1</v>
      </c>
      <c r="F23" s="18" t="s">
        <v>6</v>
      </c>
      <c r="G23" s="18">
        <f>I20</f>
        <v>3500</v>
      </c>
      <c r="H23" s="18"/>
      <c r="I23" s="18">
        <f>G23</f>
        <v>3500</v>
      </c>
    </row>
    <row r="24" spans="5:18" x14ac:dyDescent="0.25">
      <c r="E24" s="2">
        <v>2</v>
      </c>
      <c r="F24" s="2" t="s">
        <v>42</v>
      </c>
      <c r="G24" s="2"/>
      <c r="H24" s="2"/>
      <c r="I24" s="2">
        <f>I23+G24-H24</f>
        <v>3500</v>
      </c>
    </row>
    <row r="25" spans="5:18" x14ac:dyDescent="0.25">
      <c r="E25" s="2">
        <v>3</v>
      </c>
      <c r="F25" s="2" t="s">
        <v>43</v>
      </c>
      <c r="G25" s="2"/>
      <c r="H25" s="2"/>
      <c r="I25" s="2">
        <f t="shared" ref="I25:I29" si="2">I24+G25-H25</f>
        <v>3500</v>
      </c>
    </row>
    <row r="26" spans="5:18" x14ac:dyDescent="0.25">
      <c r="E26" s="2">
        <v>4</v>
      </c>
      <c r="F26" s="2" t="s">
        <v>44</v>
      </c>
      <c r="G26" s="2"/>
      <c r="H26" s="2">
        <v>50</v>
      </c>
      <c r="I26" s="2">
        <f t="shared" si="2"/>
        <v>3450</v>
      </c>
    </row>
    <row r="27" spans="5:18" x14ac:dyDescent="0.25">
      <c r="E27" s="2">
        <v>5</v>
      </c>
      <c r="F27" s="2" t="s">
        <v>47</v>
      </c>
      <c r="G27" s="2"/>
      <c r="H27" s="2">
        <v>100</v>
      </c>
      <c r="I27" s="2">
        <f t="shared" si="2"/>
        <v>3350</v>
      </c>
    </row>
    <row r="28" spans="5:18" x14ac:dyDescent="0.25">
      <c r="E28" s="2">
        <v>6</v>
      </c>
      <c r="F28" s="2" t="s">
        <v>45</v>
      </c>
      <c r="G28" s="2"/>
      <c r="H28" s="2">
        <v>250</v>
      </c>
      <c r="I28" s="2">
        <f t="shared" si="2"/>
        <v>3100</v>
      </c>
    </row>
    <row r="29" spans="5:18" x14ac:dyDescent="0.25">
      <c r="E29" s="2">
        <v>7</v>
      </c>
      <c r="F29" s="2" t="s">
        <v>46</v>
      </c>
      <c r="G29" s="2"/>
      <c r="H29" s="2">
        <v>100</v>
      </c>
      <c r="I29" s="2">
        <f t="shared" si="2"/>
        <v>3000</v>
      </c>
    </row>
    <row r="30" spans="5:18" ht="15.75" thickBot="1" x14ac:dyDescent="0.3">
      <c r="H30" s="1">
        <f>SUM(H26+H27+H28+H29)</f>
        <v>500</v>
      </c>
    </row>
    <row r="31" spans="5:18" ht="15.75" thickBot="1" x14ac:dyDescent="0.3">
      <c r="E31" s="19" t="s">
        <v>0</v>
      </c>
      <c r="F31" s="20" t="s">
        <v>8</v>
      </c>
      <c r="G31" s="20" t="s">
        <v>41</v>
      </c>
      <c r="H31" s="20" t="s">
        <v>4</v>
      </c>
      <c r="I31" s="21" t="s">
        <v>9</v>
      </c>
    </row>
    <row r="32" spans="5:18" x14ac:dyDescent="0.25">
      <c r="E32" s="18">
        <v>1</v>
      </c>
      <c r="F32" s="18" t="s">
        <v>6</v>
      </c>
      <c r="G32" s="18">
        <f>I29</f>
        <v>3000</v>
      </c>
      <c r="H32" s="18"/>
      <c r="I32" s="18">
        <f>G32</f>
        <v>3000</v>
      </c>
    </row>
    <row r="33" spans="5:9" x14ac:dyDescent="0.25">
      <c r="E33" s="2">
        <v>2</v>
      </c>
      <c r="F33" s="2" t="s">
        <v>42</v>
      </c>
      <c r="G33" s="2"/>
      <c r="H33" s="2"/>
      <c r="I33" s="2">
        <f>I32+G33-H33</f>
        <v>3000</v>
      </c>
    </row>
    <row r="34" spans="5:9" x14ac:dyDescent="0.25">
      <c r="E34" s="2">
        <v>3</v>
      </c>
      <c r="F34" s="2" t="s">
        <v>43</v>
      </c>
      <c r="G34" s="2"/>
      <c r="H34" s="2"/>
      <c r="I34" s="2">
        <f t="shared" ref="I34:I38" si="3">I33+G34-H34</f>
        <v>3000</v>
      </c>
    </row>
    <row r="35" spans="5:9" x14ac:dyDescent="0.25">
      <c r="E35" s="2">
        <v>4</v>
      </c>
      <c r="F35" s="2" t="s">
        <v>44</v>
      </c>
      <c r="G35" s="2"/>
      <c r="H35" s="2">
        <v>50</v>
      </c>
      <c r="I35" s="2">
        <f t="shared" si="3"/>
        <v>2950</v>
      </c>
    </row>
    <row r="36" spans="5:9" x14ac:dyDescent="0.25">
      <c r="E36" s="2">
        <v>5</v>
      </c>
      <c r="F36" s="2" t="s">
        <v>47</v>
      </c>
      <c r="G36" s="2"/>
      <c r="H36" s="2">
        <v>100</v>
      </c>
      <c r="I36" s="2">
        <f t="shared" si="3"/>
        <v>2850</v>
      </c>
    </row>
    <row r="37" spans="5:9" x14ac:dyDescent="0.25">
      <c r="E37" s="2">
        <v>6</v>
      </c>
      <c r="F37" s="2" t="s">
        <v>45</v>
      </c>
      <c r="G37" s="2"/>
      <c r="H37" s="2">
        <v>250</v>
      </c>
      <c r="I37" s="2">
        <f t="shared" si="3"/>
        <v>2600</v>
      </c>
    </row>
    <row r="38" spans="5:9" x14ac:dyDescent="0.25">
      <c r="E38" s="2">
        <v>7</v>
      </c>
      <c r="F38" s="2" t="s">
        <v>46</v>
      </c>
      <c r="G38" s="2"/>
      <c r="H38" s="2">
        <v>100</v>
      </c>
      <c r="I38" s="2">
        <f t="shared" si="3"/>
        <v>2500</v>
      </c>
    </row>
    <row r="39" spans="5:9" ht="15.75" thickBot="1" x14ac:dyDescent="0.3">
      <c r="H39" s="1">
        <f>SUM(H35+H36+H37+H38)</f>
        <v>500</v>
      </c>
    </row>
    <row r="40" spans="5:9" ht="15.75" thickBot="1" x14ac:dyDescent="0.3">
      <c r="E40" s="19" t="s">
        <v>0</v>
      </c>
      <c r="F40" s="20" t="s">
        <v>8</v>
      </c>
      <c r="G40" s="20" t="s">
        <v>41</v>
      </c>
      <c r="H40" s="20" t="s">
        <v>4</v>
      </c>
      <c r="I40" s="21" t="s">
        <v>9</v>
      </c>
    </row>
    <row r="41" spans="5:9" x14ac:dyDescent="0.25">
      <c r="E41" s="18">
        <v>1</v>
      </c>
      <c r="F41" s="18" t="s">
        <v>6</v>
      </c>
      <c r="G41" s="18">
        <f>I38</f>
        <v>2500</v>
      </c>
      <c r="H41" s="18"/>
      <c r="I41" s="18">
        <f>G41</f>
        <v>2500</v>
      </c>
    </row>
    <row r="42" spans="5:9" x14ac:dyDescent="0.25">
      <c r="E42" s="2">
        <v>2</v>
      </c>
      <c r="F42" s="2" t="s">
        <v>42</v>
      </c>
      <c r="G42" s="2"/>
      <c r="H42" s="2"/>
      <c r="I42" s="2">
        <f>I41+G42-H42</f>
        <v>2500</v>
      </c>
    </row>
    <row r="43" spans="5:9" x14ac:dyDescent="0.25">
      <c r="E43" s="2">
        <v>3</v>
      </c>
      <c r="F43" s="2" t="s">
        <v>43</v>
      </c>
      <c r="G43" s="2"/>
      <c r="H43" s="2"/>
      <c r="I43" s="2">
        <f t="shared" ref="I43:I47" si="4">I42+G43-H43</f>
        <v>2500</v>
      </c>
    </row>
    <row r="44" spans="5:9" x14ac:dyDescent="0.25">
      <c r="E44" s="2">
        <v>4</v>
      </c>
      <c r="F44" s="2" t="s">
        <v>44</v>
      </c>
      <c r="G44" s="2"/>
      <c r="H44" s="2">
        <v>50</v>
      </c>
      <c r="I44" s="2">
        <f t="shared" si="4"/>
        <v>2450</v>
      </c>
    </row>
    <row r="45" spans="5:9" x14ac:dyDescent="0.25">
      <c r="E45" s="2">
        <v>5</v>
      </c>
      <c r="F45" s="2" t="s">
        <v>47</v>
      </c>
      <c r="G45" s="2"/>
      <c r="H45" s="2">
        <v>100</v>
      </c>
      <c r="I45" s="2">
        <f t="shared" si="4"/>
        <v>2350</v>
      </c>
    </row>
    <row r="46" spans="5:9" x14ac:dyDescent="0.25">
      <c r="E46" s="2">
        <v>6</v>
      </c>
      <c r="F46" s="2" t="s">
        <v>45</v>
      </c>
      <c r="G46" s="2"/>
      <c r="H46" s="2">
        <v>250</v>
      </c>
      <c r="I46" s="2">
        <f t="shared" si="4"/>
        <v>2100</v>
      </c>
    </row>
    <row r="47" spans="5:9" x14ac:dyDescent="0.25">
      <c r="E47" s="2">
        <v>7</v>
      </c>
      <c r="F47" s="2" t="s">
        <v>46</v>
      </c>
      <c r="G47" s="2"/>
      <c r="H47" s="2">
        <v>100</v>
      </c>
      <c r="I47" s="2">
        <f t="shared" si="4"/>
        <v>2000</v>
      </c>
    </row>
    <row r="48" spans="5:9" x14ac:dyDescent="0.25">
      <c r="H48" s="1">
        <f>SUM(H44+H45+H46+H47)</f>
        <v>500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2025-12-21T16:14:04Z</dcterms:modified>
</cp:coreProperties>
</file>
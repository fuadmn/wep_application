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2"/>
  </bookViews>
  <sheets>
    <sheet name="one" sheetId="1" r:id="rId1"/>
    <sheet name="Sheet2" sheetId="2" r:id="rId2"/>
    <sheet name="Invonto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3" l="1"/>
  <c r="K17" i="3" s="1"/>
  <c r="K18" i="3" s="1"/>
  <c r="K9" i="3"/>
  <c r="K7" i="3"/>
  <c r="W6" i="3" l="1"/>
  <c r="W7" i="3"/>
  <c r="W8" i="3"/>
  <c r="W5" i="3"/>
  <c r="AI6" i="3"/>
  <c r="AI7" i="3"/>
  <c r="AI8" i="3"/>
  <c r="AI5" i="3"/>
  <c r="AK5" i="3" s="1"/>
  <c r="AG9" i="3"/>
  <c r="AK6" i="3" l="1"/>
  <c r="AK7" i="3" s="1"/>
  <c r="AK8" i="3" s="1"/>
  <c r="AK9" i="3" s="1"/>
  <c r="U9" i="3"/>
  <c r="W9" i="3"/>
  <c r="W14" i="1" l="1"/>
  <c r="BT36" i="1"/>
  <c r="BV36" i="1" s="1"/>
  <c r="BV37" i="1" s="1"/>
  <c r="BV38" i="1" s="1"/>
  <c r="BV39" i="1" s="1"/>
  <c r="BV40" i="1" s="1"/>
  <c r="N17" i="1" s="1"/>
  <c r="J28" i="1" s="1"/>
  <c r="BV34" i="1"/>
  <c r="BV24" i="1"/>
  <c r="BV14" i="1"/>
  <c r="BT26" i="1"/>
  <c r="BV26" i="1" l="1"/>
  <c r="BV27" i="1" s="1"/>
  <c r="BV28" i="1" s="1"/>
  <c r="BV29" i="1" s="1"/>
  <c r="BV30" i="1" s="1"/>
  <c r="N16" i="1" s="1"/>
  <c r="J27" i="1" s="1"/>
  <c r="W13" i="1"/>
  <c r="BT16" i="1" l="1"/>
  <c r="W12" i="1"/>
  <c r="BT7" i="1"/>
  <c r="W11" i="1"/>
  <c r="BV5" i="1"/>
  <c r="AM23" i="1"/>
  <c r="AM14" i="1"/>
  <c r="AM5" i="1"/>
  <c r="BH5" i="1"/>
  <c r="X5" i="1"/>
  <c r="AK25" i="1" l="1"/>
  <c r="AM25" i="1" s="1"/>
  <c r="AM26" i="1" s="1"/>
  <c r="AM27" i="1" s="1"/>
  <c r="AM28" i="1" s="1"/>
  <c r="AM29" i="1" s="1"/>
  <c r="N9" i="1" s="1"/>
  <c r="J11" i="1" s="1"/>
  <c r="AK16" i="1"/>
  <c r="W10" i="1"/>
  <c r="AM16" i="1" l="1"/>
  <c r="AM17" i="1" s="1"/>
  <c r="AM18" i="1" s="1"/>
  <c r="AM19" i="1" s="1"/>
  <c r="AM20" i="1" s="1"/>
  <c r="N8" i="1" s="1"/>
  <c r="J10" i="1" s="1"/>
  <c r="W9" i="1"/>
  <c r="W8" i="1"/>
  <c r="BX105" i="1" l="1"/>
  <c r="BX106" i="1" s="1"/>
  <c r="BX107" i="1" s="1"/>
  <c r="BX108" i="1" s="1"/>
  <c r="BX109" i="1" s="1"/>
  <c r="BX98" i="1"/>
  <c r="BX99" i="1" s="1"/>
  <c r="BX100" i="1" s="1"/>
  <c r="BX101" i="1" s="1"/>
  <c r="AS25" i="1"/>
  <c r="AT25" i="1" s="1"/>
  <c r="AT26" i="1" s="1"/>
  <c r="AT27" i="1" s="1"/>
  <c r="AT28" i="1" s="1"/>
  <c r="AT29" i="1" s="1"/>
  <c r="BV16" i="1"/>
  <c r="BV17" i="1" s="1"/>
  <c r="BV18" i="1" s="1"/>
  <c r="BV19" i="1" s="1"/>
  <c r="BV20" i="1" s="1"/>
  <c r="N15" i="1" s="1"/>
  <c r="J26" i="1" s="1"/>
  <c r="AS16" i="1"/>
  <c r="AT16" i="1" s="1"/>
  <c r="AT17" i="1" s="1"/>
  <c r="AT18" i="1" s="1"/>
  <c r="AT19" i="1" s="1"/>
  <c r="AT20" i="1" s="1"/>
  <c r="BV7" i="1"/>
  <c r="BV8" i="1" s="1"/>
  <c r="BV9" i="1" s="1"/>
  <c r="BV10" i="1" s="1"/>
  <c r="BV11" i="1" s="1"/>
  <c r="N14" i="1" s="1"/>
  <c r="J25" i="1" s="1"/>
  <c r="BN7" i="1"/>
  <c r="BO7" i="1" s="1"/>
  <c r="BO8" i="1" s="1"/>
  <c r="BO9" i="1" s="1"/>
  <c r="BO10" i="1" s="1"/>
  <c r="BO11" i="1" s="1"/>
  <c r="BF7" i="1"/>
  <c r="BH7" i="1" s="1"/>
  <c r="BH8" i="1" s="1"/>
  <c r="BH9" i="1" s="1"/>
  <c r="BH10" i="1" s="1"/>
  <c r="BH11" i="1" s="1"/>
  <c r="AZ7" i="1"/>
  <c r="BA7" i="1" s="1"/>
  <c r="BA8" i="1" s="1"/>
  <c r="BA9" i="1" s="1"/>
  <c r="BA10" i="1" s="1"/>
  <c r="BA11" i="1" s="1"/>
  <c r="P11" i="1" s="1"/>
  <c r="AS7" i="1"/>
  <c r="AT7" i="1" s="1"/>
  <c r="AT8" i="1" s="1"/>
  <c r="AT9" i="1" s="1"/>
  <c r="AT10" i="1" s="1"/>
  <c r="AT11" i="1" s="1"/>
  <c r="AK7" i="1"/>
  <c r="AM7" i="1" s="1"/>
  <c r="AM8" i="1" s="1"/>
  <c r="AM9" i="1" s="1"/>
  <c r="AM10" i="1" s="1"/>
  <c r="AM11" i="1" s="1"/>
  <c r="N7" i="1" s="1"/>
  <c r="J9" i="1" s="1"/>
  <c r="AE7" i="1"/>
  <c r="AE8" i="1" s="1"/>
  <c r="AE9" i="1" s="1"/>
  <c r="AE10" i="1" s="1"/>
  <c r="AE11" i="1" s="1"/>
  <c r="V7" i="1"/>
  <c r="X7" i="1" s="1"/>
  <c r="X8" i="1" s="1"/>
  <c r="J21" i="1" l="1"/>
  <c r="P22" i="1"/>
  <c r="J29" i="1"/>
  <c r="J12" i="1"/>
  <c r="X9" i="1"/>
  <c r="X10" i="1" s="1"/>
  <c r="X11" i="1" s="1"/>
  <c r="X12" i="1" s="1"/>
  <c r="X13" i="1" s="1"/>
  <c r="X14" i="1" s="1"/>
  <c r="X15" i="1" s="1"/>
  <c r="X16" i="1" s="1"/>
  <c r="X17" i="1" s="1"/>
  <c r="J19" i="1"/>
  <c r="J30" i="1" l="1"/>
  <c r="J31" i="1" s="1"/>
  <c r="N6" i="1"/>
  <c r="J4" i="1" l="1"/>
  <c r="J13" i="1" s="1"/>
  <c r="N22" i="1"/>
  <c r="E61" i="2"/>
  <c r="E51" i="2"/>
  <c r="E41" i="2"/>
  <c r="E31" i="2"/>
  <c r="E21" i="2"/>
  <c r="D11" i="2"/>
  <c r="E11" i="2"/>
  <c r="F3" i="2"/>
  <c r="F4" i="2" s="1"/>
  <c r="F5" i="2" s="1"/>
  <c r="F6" i="2" s="1"/>
  <c r="F7" i="2" s="1"/>
  <c r="F8" i="2" s="1"/>
  <c r="F9" i="2" s="1"/>
  <c r="F10" i="2" s="1"/>
  <c r="F11" i="2" s="1"/>
  <c r="D13" i="2" s="1"/>
  <c r="D21" i="2" s="1"/>
  <c r="F13" i="2" l="1"/>
  <c r="F14" i="2" s="1"/>
  <c r="F15" i="2" s="1"/>
  <c r="F16" i="2" s="1"/>
  <c r="F17" i="2" s="1"/>
  <c r="F18" i="2" s="1"/>
  <c r="F19" i="2" s="1"/>
  <c r="F20" i="2" s="1"/>
  <c r="F21" i="2" s="1"/>
  <c r="D23" i="2" s="1"/>
  <c r="D31" i="2" l="1"/>
  <c r="F23" i="2"/>
  <c r="F24" i="2" s="1"/>
  <c r="F25" i="2" s="1"/>
  <c r="F26" i="2" s="1"/>
  <c r="F27" i="2" s="1"/>
  <c r="F28" i="2" s="1"/>
  <c r="F29" i="2" s="1"/>
  <c r="F30" i="2" s="1"/>
  <c r="F31" i="2" s="1"/>
  <c r="D33" i="2" s="1"/>
  <c r="D41" i="2" l="1"/>
  <c r="F33" i="2"/>
  <c r="F34" i="2" s="1"/>
  <c r="F35" i="2" s="1"/>
  <c r="F36" i="2" s="1"/>
  <c r="F37" i="2" s="1"/>
  <c r="F38" i="2" s="1"/>
  <c r="F39" i="2" s="1"/>
  <c r="F40" i="2" s="1"/>
  <c r="F41" i="2" s="1"/>
  <c r="D43" i="2" s="1"/>
  <c r="D51" i="2" l="1"/>
  <c r="F43" i="2"/>
  <c r="F44" i="2" s="1"/>
  <c r="F45" i="2" s="1"/>
  <c r="F46" i="2" s="1"/>
  <c r="F47" i="2" s="1"/>
  <c r="F48" i="2" s="1"/>
  <c r="F49" i="2" s="1"/>
  <c r="F50" i="2" s="1"/>
  <c r="F51" i="2" s="1"/>
  <c r="D53" i="2" s="1"/>
  <c r="F53" i="2" l="1"/>
  <c r="F54" i="2" s="1"/>
  <c r="F55" i="2" s="1"/>
  <c r="F56" i="2" s="1"/>
  <c r="F57" i="2" s="1"/>
  <c r="F58" i="2" s="1"/>
  <c r="F59" i="2" s="1"/>
  <c r="F60" i="2" s="1"/>
  <c r="F61" i="2" s="1"/>
  <c r="D61" i="2"/>
</calcChain>
</file>

<file path=xl/sharedStrings.xml><?xml version="1.0" encoding="utf-8"?>
<sst xmlns="http://schemas.openxmlformats.org/spreadsheetml/2006/main" count="393" uniqueCount="120">
  <si>
    <t>No:</t>
  </si>
  <si>
    <t>Date</t>
  </si>
  <si>
    <t>Debit</t>
  </si>
  <si>
    <t>Credit</t>
  </si>
  <si>
    <t>Salaam Bank</t>
  </si>
  <si>
    <t>Assets</t>
  </si>
  <si>
    <t>Description</t>
  </si>
  <si>
    <t>Balance</t>
  </si>
  <si>
    <t>+</t>
  </si>
  <si>
    <t>Debit +</t>
  </si>
  <si>
    <t>Credit -</t>
  </si>
  <si>
    <t>=</t>
  </si>
  <si>
    <t>Liabilities</t>
  </si>
  <si>
    <t>Account Payable</t>
  </si>
  <si>
    <t>Debit -</t>
  </si>
  <si>
    <t>Credit +</t>
  </si>
  <si>
    <t>-</t>
  </si>
  <si>
    <t>Total Assets</t>
  </si>
  <si>
    <t>Dedit</t>
  </si>
  <si>
    <t>Computer hp</t>
  </si>
  <si>
    <t>Office Table &amp; Chair</t>
  </si>
  <si>
    <t>saacad koronto</t>
  </si>
  <si>
    <t>Emplooyee Programing</t>
  </si>
  <si>
    <t>Rent Expense</t>
  </si>
  <si>
    <t xml:space="preserve">Emplooyee marketing </t>
  </si>
  <si>
    <t>Owner'sEquity</t>
  </si>
  <si>
    <t>CGENERAL JOURNAL</t>
  </si>
  <si>
    <t>PAGE</t>
  </si>
  <si>
    <t>J1</t>
  </si>
  <si>
    <t>Trial Balance</t>
  </si>
  <si>
    <t>Cash</t>
  </si>
  <si>
    <t>Supplies</t>
  </si>
  <si>
    <t>Equipment</t>
  </si>
  <si>
    <t>Notes  Payable</t>
  </si>
  <si>
    <t>Owner's Capital</t>
  </si>
  <si>
    <t>Owner's Drawings</t>
  </si>
  <si>
    <t>Serive Revenue</t>
  </si>
  <si>
    <t>Account Titles and Explanation</t>
  </si>
  <si>
    <t>Red.</t>
  </si>
  <si>
    <t xml:space="preserve">Debit </t>
  </si>
  <si>
    <t>Octorber 31,2025</t>
  </si>
  <si>
    <t>N0:</t>
  </si>
  <si>
    <t>2025 Oct.1</t>
  </si>
  <si>
    <t xml:space="preserve">  Prepaid Insurance</t>
  </si>
  <si>
    <t>Explanation</t>
  </si>
  <si>
    <t>Ref.</t>
  </si>
  <si>
    <t xml:space="preserve">    Owner's Capital</t>
  </si>
  <si>
    <t xml:space="preserve">         (Owner's investment of cash in busniss)</t>
  </si>
  <si>
    <t xml:space="preserve">         (Issured 3-month 12% note for offce)</t>
  </si>
  <si>
    <t>Salaries and Wages Expenses</t>
  </si>
  <si>
    <t>Total Liabilities</t>
  </si>
  <si>
    <t xml:space="preserve">         (Received cash from R.Knox for future service)</t>
  </si>
  <si>
    <t xml:space="preserve">    Cash</t>
  </si>
  <si>
    <t xml:space="preserve">         (Paid October rent)</t>
  </si>
  <si>
    <t xml:space="preserve">       Expense</t>
  </si>
  <si>
    <t>Unearned Service Revenue</t>
  </si>
  <si>
    <t xml:space="preserve">    Total Expense</t>
  </si>
  <si>
    <t xml:space="preserve">         (Paid one-year policy rffective date October 1)</t>
  </si>
  <si>
    <t xml:space="preserve">Total Owner'sEquity </t>
  </si>
  <si>
    <t xml:space="preserve">    Accounts Payable</t>
  </si>
  <si>
    <t xml:space="preserve">         (Purchased supplies on account from Aero Supply)</t>
  </si>
  <si>
    <t xml:space="preserve">         (Paid salaries to date)</t>
  </si>
  <si>
    <t xml:space="preserve">      Cash</t>
  </si>
  <si>
    <t xml:space="preserve">     Total Equipment</t>
  </si>
  <si>
    <t xml:space="preserve">  Total Owner'sEquity And Liabilities</t>
  </si>
  <si>
    <t>Equipment Saaacad</t>
  </si>
  <si>
    <t>Office Table &amp; Chair Equipment</t>
  </si>
  <si>
    <t>HP Equipment</t>
  </si>
  <si>
    <t xml:space="preserve">       Cash</t>
  </si>
  <si>
    <t xml:space="preserve">       HP Equipment</t>
  </si>
  <si>
    <t xml:space="preserve">       Office Table &amp; Chair Equipment</t>
  </si>
  <si>
    <t xml:space="preserve">        Saaacad Equipment</t>
  </si>
  <si>
    <t xml:space="preserve">    Notes  Payable</t>
  </si>
  <si>
    <t xml:space="preserve">      Unearned Service Revenue</t>
  </si>
  <si>
    <t xml:space="preserve">   Accounts  Payable</t>
  </si>
  <si>
    <t xml:space="preserve">       Rent Expense</t>
  </si>
  <si>
    <t xml:space="preserve">Emplooyee Programing </t>
  </si>
  <si>
    <t xml:space="preserve">         Emplooyee Programing</t>
  </si>
  <si>
    <t>adverveding Expenses</t>
  </si>
  <si>
    <t xml:space="preserve">Emplooyee marketing  </t>
  </si>
  <si>
    <t xml:space="preserve">         Adverveding Expenses</t>
  </si>
  <si>
    <t>Salaries  Expenses</t>
  </si>
  <si>
    <t xml:space="preserve"> Wages Expenses</t>
  </si>
  <si>
    <t xml:space="preserve">         Emplooyee marketing  </t>
  </si>
  <si>
    <t>Expense</t>
  </si>
  <si>
    <t xml:space="preserve"> Revenue</t>
  </si>
  <si>
    <t>Image</t>
  </si>
  <si>
    <t>Products Name</t>
  </si>
  <si>
    <t>Min</t>
  </si>
  <si>
    <t>Max</t>
  </si>
  <si>
    <t>Cost</t>
  </si>
  <si>
    <t>Total  Cost</t>
  </si>
  <si>
    <t>Samsung Galxy 26 Ultuy</t>
  </si>
  <si>
    <t xml:space="preserve">South Koria </t>
  </si>
  <si>
    <t xml:space="preserve">Credit  - </t>
  </si>
  <si>
    <t xml:space="preserve">Qty </t>
  </si>
  <si>
    <t>Samsung Galxy 25 Ultuy</t>
  </si>
  <si>
    <t>Chine</t>
  </si>
  <si>
    <t>I Phone 17pro</t>
  </si>
  <si>
    <t>Tecno W5</t>
  </si>
  <si>
    <t>Thailand</t>
  </si>
  <si>
    <t>Box Name</t>
  </si>
  <si>
    <t xml:space="preserve">Store Balance </t>
  </si>
  <si>
    <t>Invontory  Store</t>
  </si>
  <si>
    <t>Total</t>
  </si>
  <si>
    <t xml:space="preserve"> Invontory  purchases</t>
  </si>
  <si>
    <t>General Journal</t>
  </si>
  <si>
    <t>Page</t>
  </si>
  <si>
    <t>Ref…</t>
  </si>
  <si>
    <t>Account Titles and Exlanation</t>
  </si>
  <si>
    <t xml:space="preserve">    Owner's Equits</t>
  </si>
  <si>
    <t>Balance Sheet</t>
  </si>
  <si>
    <t>Company</t>
  </si>
  <si>
    <t>Liabilities And Owner's Equits</t>
  </si>
  <si>
    <t xml:space="preserve">        Total Liabilities</t>
  </si>
  <si>
    <t xml:space="preserve"> Owner's Equits</t>
  </si>
  <si>
    <t xml:space="preserve">       Total  Owner's Equits</t>
  </si>
  <si>
    <t>Total  Liabilities And Owner's Equits</t>
  </si>
  <si>
    <t xml:space="preserve">      Total Assets</t>
  </si>
  <si>
    <t>I Phone 15pro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</si>
</sst>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35">
    <xf numFmtId="0" fontId="0" fillId="0" borderId="0" xfId="0"/>
    <xf numFmtId="0" fontId="0" fillId="3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1" fillId="3" borderId="1" xfId="0" applyFont="1" applyFill="1" applyBorder="1"/>
    <xf numFmtId="0" fontId="0" fillId="3" borderId="0" xfId="0" applyFill="1" applyBorder="1"/>
    <xf numFmtId="0" fontId="0" fillId="3" borderId="15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0" fillId="3" borderId="0" xfId="0" applyFill="1" applyAlignment="1">
      <alignment horizontal="right"/>
    </xf>
    <xf numFmtId="0" fontId="7" fillId="3" borderId="0" xfId="0" applyFont="1" applyFill="1"/>
    <xf numFmtId="0" fontId="2" fillId="3" borderId="0" xfId="0" applyFont="1" applyFill="1"/>
    <xf numFmtId="0" fontId="5" fillId="4" borderId="1" xfId="0" applyFont="1" applyFill="1" applyBorder="1" applyAlignment="1">
      <alignment horizontal="right"/>
    </xf>
    <xf numFmtId="0" fontId="8" fillId="4" borderId="1" xfId="0" applyFont="1" applyFill="1" applyBorder="1" applyAlignment="1"/>
    <xf numFmtId="0" fontId="0" fillId="3" borderId="0" xfId="0" applyFill="1" applyBorder="1" applyAlignment="1">
      <alignment horizontal="right" indent="1"/>
    </xf>
    <xf numFmtId="0" fontId="0" fillId="3" borderId="16" xfId="0" applyFill="1" applyBorder="1" applyAlignment="1">
      <alignment horizontal="left" indent="1"/>
    </xf>
    <xf numFmtId="0" fontId="0" fillId="3" borderId="0" xfId="0" applyFill="1" applyBorder="1" applyAlignment="1">
      <alignment horizontal="left" indent="1"/>
    </xf>
    <xf numFmtId="0" fontId="0" fillId="3" borderId="17" xfId="0" applyFill="1" applyBorder="1" applyAlignment="1"/>
    <xf numFmtId="0" fontId="0" fillId="3" borderId="0" xfId="0" applyFill="1" applyBorder="1" applyAlignment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left"/>
    </xf>
    <xf numFmtId="3" fontId="0" fillId="3" borderId="1" xfId="0" applyNumberFormat="1" applyFill="1" applyBorder="1"/>
    <xf numFmtId="0" fontId="0" fillId="3" borderId="16" xfId="0" applyFill="1" applyBorder="1"/>
    <xf numFmtId="0" fontId="0" fillId="3" borderId="17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44" fontId="2" fillId="3" borderId="17" xfId="1" applyFont="1" applyFill="1" applyBorder="1" applyAlignment="1"/>
    <xf numFmtId="44" fontId="2" fillId="3" borderId="0" xfId="1" applyFont="1" applyFill="1" applyBorder="1" applyAlignment="1"/>
    <xf numFmtId="14" fontId="0" fillId="3" borderId="1" xfId="0" applyNumberFormat="1" applyFill="1" applyBorder="1" applyAlignment="1">
      <alignment horizontal="left" indent="2"/>
    </xf>
    <xf numFmtId="0" fontId="1" fillId="3" borderId="17" xfId="0" applyFont="1" applyFill="1" applyBorder="1" applyAlignment="1"/>
    <xf numFmtId="0" fontId="1" fillId="3" borderId="0" xfId="0" applyFont="1" applyFill="1" applyBorder="1" applyAlignment="1"/>
    <xf numFmtId="0" fontId="2" fillId="3" borderId="18" xfId="0" applyFont="1" applyFill="1" applyBorder="1" applyAlignment="1"/>
    <xf numFmtId="0" fontId="2" fillId="3" borderId="0" xfId="0" applyFont="1" applyFill="1" applyBorder="1" applyAlignment="1"/>
    <xf numFmtId="0" fontId="0" fillId="3" borderId="10" xfId="0" applyFill="1" applyBorder="1" applyAlignment="1"/>
    <xf numFmtId="0" fontId="0" fillId="3" borderId="11" xfId="0" applyFill="1" applyBorder="1" applyAlignment="1"/>
    <xf numFmtId="0" fontId="1" fillId="3" borderId="16" xfId="0" applyFont="1" applyFill="1" applyBorder="1"/>
    <xf numFmtId="0" fontId="0" fillId="3" borderId="9" xfId="0" applyFill="1" applyBorder="1"/>
    <xf numFmtId="0" fontId="0" fillId="3" borderId="10" xfId="0" applyFill="1" applyBorder="1"/>
    <xf numFmtId="44" fontId="2" fillId="3" borderId="11" xfId="1" applyFont="1" applyFill="1" applyBorder="1" applyAlignment="1"/>
    <xf numFmtId="0" fontId="11" fillId="3" borderId="16" xfId="0" applyFont="1" applyFill="1" applyBorder="1"/>
    <xf numFmtId="0" fontId="12" fillId="3" borderId="0" xfId="0" applyFont="1" applyFill="1" applyBorder="1"/>
    <xf numFmtId="0" fontId="11" fillId="3" borderId="16" xfId="0" applyFont="1" applyFill="1" applyBorder="1" applyAlignment="1">
      <alignment horizontal="left" indent="1"/>
    </xf>
    <xf numFmtId="0" fontId="11" fillId="3" borderId="0" xfId="0" applyFont="1" applyFill="1" applyBorder="1" applyAlignment="1">
      <alignment horizontal="left" indent="1"/>
    </xf>
    <xf numFmtId="0" fontId="11" fillId="3" borderId="17" xfId="0" applyFont="1" applyFill="1" applyBorder="1" applyAlignment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3" fontId="9" fillId="4" borderId="4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3" fontId="0" fillId="3" borderId="0" xfId="0" applyNumberFormat="1" applyFill="1"/>
    <xf numFmtId="0" fontId="0" fillId="3" borderId="17" xfId="0" applyFill="1" applyBorder="1" applyAlignment="1">
      <alignment horizontal="left"/>
    </xf>
    <xf numFmtId="0" fontId="11" fillId="3" borderId="17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17" xfId="0" applyFont="1" applyFill="1" applyBorder="1" applyAlignment="1">
      <alignment horizontal="right"/>
    </xf>
    <xf numFmtId="0" fontId="2" fillId="3" borderId="17" xfId="0" applyFont="1" applyFill="1" applyBorder="1" applyAlignment="1"/>
    <xf numFmtId="0" fontId="13" fillId="3" borderId="10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4" fillId="3" borderId="16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44" fontId="1" fillId="3" borderId="0" xfId="1" applyFont="1" applyFill="1" applyBorder="1" applyAlignment="1"/>
    <xf numFmtId="0" fontId="1" fillId="3" borderId="20" xfId="0" applyFont="1" applyFill="1" applyBorder="1" applyAlignment="1">
      <alignment horizontal="left"/>
    </xf>
    <xf numFmtId="0" fontId="2" fillId="3" borderId="19" xfId="1" applyNumberFormat="1" applyFont="1" applyFill="1" applyBorder="1" applyAlignment="1"/>
    <xf numFmtId="0" fontId="10" fillId="3" borderId="19" xfId="1" applyNumberFormat="1" applyFont="1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14" fillId="3" borderId="0" xfId="0" applyFont="1" applyFill="1" applyBorder="1" applyAlignment="1">
      <alignment horizontal="right"/>
    </xf>
    <xf numFmtId="0" fontId="0" fillId="3" borderId="0" xfId="0" applyFont="1" applyFill="1" applyBorder="1" applyAlignment="1"/>
    <xf numFmtId="0" fontId="15" fillId="3" borderId="0" xfId="1" applyNumberFormat="1" applyFont="1" applyFill="1" applyBorder="1" applyAlignment="1"/>
    <xf numFmtId="0" fontId="3" fillId="3" borderId="15" xfId="0" applyFont="1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3" xfId="0" applyFont="1" applyFill="1" applyBorder="1"/>
    <xf numFmtId="164" fontId="3" fillId="3" borderId="4" xfId="1" applyNumberFormat="1" applyFont="1" applyFill="1" applyBorder="1"/>
    <xf numFmtId="164" fontId="0" fillId="3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165" fontId="0" fillId="3" borderId="1" xfId="2" applyNumberFormat="1" applyFont="1" applyFill="1" applyBorder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3" borderId="1" xfId="0" applyFont="1" applyFill="1" applyBorder="1" applyAlignment="1"/>
    <xf numFmtId="164" fontId="2" fillId="3" borderId="1" xfId="0" applyNumberFormat="1" applyFont="1" applyFill="1" applyBorder="1" applyAlignment="1"/>
    <xf numFmtId="165" fontId="2" fillId="3" borderId="3" xfId="0" applyNumberFormat="1" applyFont="1" applyFill="1" applyBorder="1" applyAlignment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/>
    <xf numFmtId="0" fontId="10" fillId="3" borderId="1" xfId="0" applyFont="1" applyFill="1" applyBorder="1"/>
    <xf numFmtId="0" fontId="17" fillId="6" borderId="4" xfId="0" applyFont="1" applyFill="1" applyBorder="1" applyAlignment="1">
      <alignment horizontal="left"/>
    </xf>
    <xf numFmtId="0" fontId="10" fillId="3" borderId="0" xfId="0" applyFont="1" applyFill="1" applyBorder="1"/>
    <xf numFmtId="0" fontId="17" fillId="3" borderId="0" xfId="0" applyFont="1" applyFill="1" applyBorder="1" applyAlignment="1">
      <alignment horizontal="left"/>
    </xf>
    <xf numFmtId="165" fontId="0" fillId="3" borderId="0" xfId="2" applyNumberFormat="1" applyFont="1" applyFill="1"/>
    <xf numFmtId="0" fontId="8" fillId="4" borderId="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0" fillId="3" borderId="0" xfId="0" applyNumberFormat="1" applyFill="1"/>
    <xf numFmtId="164" fontId="1" fillId="3" borderId="0" xfId="1" applyNumberFormat="1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X109"/>
  <sheetViews>
    <sheetView zoomScale="93" zoomScaleNormal="93" workbookViewId="0">
      <selection activeCell="C31" sqref="C31"/>
    </sheetView>
  </sheetViews>
  <sheetFormatPr defaultColWidth="9.140625" defaultRowHeight="15" x14ac:dyDescent="0.25"/>
  <cols>
    <col min="1" max="1" width="9.140625" style="1"/>
    <col min="2" max="2" width="11" style="1" bestFit="1" customWidth="1"/>
    <col min="3" max="3" width="50.5703125" style="1" bestFit="1" customWidth="1"/>
    <col min="4" max="4" width="5" style="1" bestFit="1" customWidth="1"/>
    <col min="5" max="6" width="9.140625" style="1"/>
    <col min="7" max="7" width="3.7109375" style="1" customWidth="1"/>
    <col min="8" max="8" width="33.28515625" style="1" bestFit="1" customWidth="1"/>
    <col min="9" max="9" width="5" style="1" customWidth="1"/>
    <col min="10" max="10" width="7.5703125" style="10" bestFit="1" customWidth="1"/>
    <col min="11" max="11" width="5.140625" style="10" customWidth="1"/>
    <col min="12" max="12" width="18.85546875" style="10" bestFit="1" customWidth="1"/>
    <col min="13" max="13" width="29.28515625" style="10" bestFit="1" customWidth="1"/>
    <col min="14" max="14" width="10.85546875" style="10" bestFit="1" customWidth="1"/>
    <col min="15" max="15" width="2.5703125" style="10" customWidth="1"/>
    <col min="16" max="16" width="8.42578125" style="10" customWidth="1"/>
    <col min="17" max="17" width="2.140625" style="10" customWidth="1"/>
    <col min="18" max="18" width="3.5703125" style="1" customWidth="1"/>
    <col min="19" max="19" width="9.140625" style="1"/>
    <col min="20" max="20" width="9.140625" style="1" customWidth="1"/>
    <col min="21" max="21" width="5" style="1" bestFit="1" customWidth="1"/>
    <col min="22" max="22" width="7.28515625" style="1" bestFit="1" customWidth="1"/>
    <col min="23" max="23" width="7.5703125" style="1" bestFit="1" customWidth="1"/>
    <col min="24" max="24" width="7.85546875" style="1" bestFit="1" customWidth="1"/>
    <col min="25" max="25" width="3.85546875" style="1" customWidth="1"/>
    <col min="26" max="27" width="9.140625" style="1"/>
    <col min="28" max="28" width="5" style="1" bestFit="1" customWidth="1"/>
    <col min="29" max="30" width="9.140625" style="1"/>
    <col min="31" max="31" width="7.85546875" style="1" bestFit="1" customWidth="1"/>
    <col min="32" max="33" width="2.85546875" style="1" customWidth="1"/>
    <col min="34" max="35" width="9.140625" style="1"/>
    <col min="36" max="36" width="5" style="1" bestFit="1" customWidth="1"/>
    <col min="37" max="38" width="9.140625" style="1"/>
    <col min="39" max="39" width="7.85546875" style="1" bestFit="1" customWidth="1"/>
    <col min="40" max="40" width="3.42578125" style="1" customWidth="1"/>
    <col min="41" max="41" width="9.140625" style="1"/>
    <col min="42" max="42" width="11.42578125" style="1" bestFit="1" customWidth="1"/>
    <col min="43" max="43" width="5" style="1" bestFit="1" customWidth="1"/>
    <col min="44" max="45" width="9.140625" style="1"/>
    <col min="46" max="46" width="7.85546875" style="1" bestFit="1" customWidth="1"/>
    <col min="47" max="47" width="2.5703125" style="1" bestFit="1" customWidth="1"/>
    <col min="48" max="49" width="9.140625" style="1"/>
    <col min="50" max="50" width="5" style="1" bestFit="1" customWidth="1"/>
    <col min="51" max="52" width="9.140625" style="1"/>
    <col min="53" max="53" width="7.85546875" style="1" bestFit="1" customWidth="1"/>
    <col min="54" max="54" width="2.85546875" style="1" customWidth="1"/>
    <col min="55" max="56" width="9.140625" style="1"/>
    <col min="57" max="57" width="5" style="1" bestFit="1" customWidth="1"/>
    <col min="58" max="59" width="9.140625" style="1"/>
    <col min="60" max="60" width="7.85546875" style="1" bestFit="1" customWidth="1"/>
    <col min="61" max="61" width="3.28515625" style="1" customWidth="1"/>
    <col min="62" max="63" width="9.140625" style="1"/>
    <col min="64" max="64" width="5" style="1" bestFit="1" customWidth="1"/>
    <col min="65" max="66" width="9.140625" style="1"/>
    <col min="67" max="67" width="7.85546875" style="1" bestFit="1" customWidth="1"/>
    <col min="68" max="68" width="2.85546875" style="1" customWidth="1"/>
    <col min="69" max="73" width="9.140625" style="1"/>
    <col min="74" max="74" width="7.85546875" style="1" bestFit="1" customWidth="1"/>
    <col min="75" max="16384" width="9.140625" style="1"/>
  </cols>
  <sheetData>
    <row r="2" spans="2:74" ht="24" thickBot="1" x14ac:dyDescent="0.4">
      <c r="S2" s="101" t="s">
        <v>5</v>
      </c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1" t="s">
        <v>11</v>
      </c>
      <c r="AO2" s="101" t="s">
        <v>12</v>
      </c>
      <c r="AP2" s="101"/>
      <c r="AQ2" s="101"/>
      <c r="AR2" s="101"/>
      <c r="AS2" s="101"/>
      <c r="AT2" s="101"/>
      <c r="AU2" s="12" t="s">
        <v>8</v>
      </c>
      <c r="AV2" s="101" t="s">
        <v>25</v>
      </c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</row>
    <row r="3" spans="2:74" ht="18.75" x14ac:dyDescent="0.3">
      <c r="B3" s="102" t="s">
        <v>26</v>
      </c>
      <c r="C3" s="103"/>
      <c r="D3" s="104"/>
      <c r="E3" s="13" t="s">
        <v>27</v>
      </c>
      <c r="F3" s="14" t="s">
        <v>28</v>
      </c>
      <c r="H3" s="105" t="s">
        <v>5</v>
      </c>
      <c r="I3" s="106"/>
      <c r="J3" s="107"/>
      <c r="L3" s="111" t="s">
        <v>29</v>
      </c>
      <c r="M3" s="112"/>
      <c r="N3" s="112"/>
      <c r="O3" s="112"/>
      <c r="P3" s="112"/>
      <c r="Q3" s="113"/>
    </row>
    <row r="4" spans="2:74" ht="19.5" thickBot="1" x14ac:dyDescent="0.35">
      <c r="B4" s="4" t="s">
        <v>1</v>
      </c>
      <c r="C4" s="4" t="s">
        <v>37</v>
      </c>
      <c r="D4" s="4" t="s">
        <v>38</v>
      </c>
      <c r="E4" s="4" t="s">
        <v>39</v>
      </c>
      <c r="F4" s="4" t="s">
        <v>3</v>
      </c>
      <c r="H4" s="16" t="s">
        <v>30</v>
      </c>
      <c r="I4" s="17"/>
      <c r="J4" s="18">
        <f>N6</f>
        <v>3800</v>
      </c>
      <c r="K4" s="15"/>
      <c r="L4" s="114" t="s">
        <v>40</v>
      </c>
      <c r="M4" s="115"/>
      <c r="N4" s="115"/>
      <c r="O4" s="115"/>
      <c r="P4" s="115"/>
      <c r="Q4" s="116"/>
      <c r="S4" s="95" t="s">
        <v>30</v>
      </c>
      <c r="T4" s="96"/>
      <c r="U4" s="96"/>
      <c r="V4" s="96"/>
      <c r="W4" s="96"/>
      <c r="X4" s="97"/>
      <c r="Z4" s="95" t="s">
        <v>31</v>
      </c>
      <c r="AA4" s="96"/>
      <c r="AB4" s="96"/>
      <c r="AC4" s="96"/>
      <c r="AD4" s="96"/>
      <c r="AE4" s="97"/>
      <c r="AH4" s="95" t="s">
        <v>67</v>
      </c>
      <c r="AI4" s="96"/>
      <c r="AJ4" s="96"/>
      <c r="AK4" s="96"/>
      <c r="AL4" s="96"/>
      <c r="AM4" s="97"/>
      <c r="AO4" s="95" t="s">
        <v>33</v>
      </c>
      <c r="AP4" s="96"/>
      <c r="AQ4" s="96"/>
      <c r="AR4" s="96"/>
      <c r="AS4" s="96"/>
      <c r="AT4" s="97"/>
      <c r="AV4" s="95" t="s">
        <v>34</v>
      </c>
      <c r="AW4" s="96"/>
      <c r="AX4" s="96"/>
      <c r="AY4" s="96"/>
      <c r="AZ4" s="96"/>
      <c r="BA4" s="97"/>
      <c r="BB4" s="12" t="s">
        <v>16</v>
      </c>
      <c r="BC4" s="95" t="s">
        <v>35</v>
      </c>
      <c r="BD4" s="96"/>
      <c r="BE4" s="96"/>
      <c r="BF4" s="96"/>
      <c r="BG4" s="96"/>
      <c r="BH4" s="97"/>
      <c r="BI4" s="12" t="s">
        <v>8</v>
      </c>
      <c r="BJ4" s="95" t="s">
        <v>36</v>
      </c>
      <c r="BK4" s="96"/>
      <c r="BL4" s="96"/>
      <c r="BM4" s="96"/>
      <c r="BN4" s="96"/>
      <c r="BO4" s="97"/>
      <c r="BP4" s="12" t="s">
        <v>16</v>
      </c>
      <c r="BQ4" s="95" t="s">
        <v>23</v>
      </c>
      <c r="BR4" s="96"/>
      <c r="BS4" s="96"/>
      <c r="BT4" s="96"/>
      <c r="BU4" s="96"/>
      <c r="BV4" s="97"/>
    </row>
    <row r="5" spans="2:74" ht="18.75" x14ac:dyDescent="0.3">
      <c r="B5" s="2" t="s">
        <v>42</v>
      </c>
      <c r="C5" s="2" t="s">
        <v>30</v>
      </c>
      <c r="D5" s="2">
        <v>101</v>
      </c>
      <c r="E5" s="24">
        <v>5000</v>
      </c>
      <c r="F5" s="2"/>
      <c r="H5" s="25" t="s">
        <v>43</v>
      </c>
      <c r="I5" s="5"/>
      <c r="J5" s="26"/>
      <c r="K5" s="19"/>
      <c r="L5" s="65"/>
      <c r="M5" s="58"/>
      <c r="N5" s="28" t="s">
        <v>2</v>
      </c>
      <c r="O5" s="58"/>
      <c r="P5" s="64" t="s">
        <v>3</v>
      </c>
      <c r="Q5" s="66"/>
      <c r="S5" s="20"/>
      <c r="T5" s="21"/>
      <c r="U5" s="21"/>
      <c r="V5" s="21"/>
      <c r="W5" s="22" t="s">
        <v>41</v>
      </c>
      <c r="X5" s="23">
        <f>D5</f>
        <v>101</v>
      </c>
      <c r="Z5" s="20"/>
      <c r="AA5" s="21"/>
      <c r="AB5" s="21"/>
      <c r="AC5" s="21"/>
      <c r="AD5" s="22" t="s">
        <v>41</v>
      </c>
      <c r="AE5" s="23">
        <v>126</v>
      </c>
      <c r="AH5" s="20"/>
      <c r="AI5" s="21"/>
      <c r="AJ5" s="21"/>
      <c r="AK5" s="21"/>
      <c r="AL5" s="22" t="s">
        <v>41</v>
      </c>
      <c r="AM5" s="23">
        <f>D9</f>
        <v>104</v>
      </c>
      <c r="AO5" s="20"/>
      <c r="AP5" s="21"/>
      <c r="AQ5" s="21"/>
      <c r="AR5" s="21"/>
      <c r="AS5" s="22" t="s">
        <v>41</v>
      </c>
      <c r="AT5" s="23">
        <v>200</v>
      </c>
      <c r="AV5" s="20"/>
      <c r="AW5" s="21"/>
      <c r="AX5" s="21"/>
      <c r="AY5" s="21"/>
      <c r="AZ5" s="22" t="s">
        <v>41</v>
      </c>
      <c r="BA5" s="23">
        <v>301</v>
      </c>
      <c r="BC5" s="20"/>
      <c r="BD5" s="21"/>
      <c r="BE5" s="21"/>
      <c r="BF5" s="21"/>
      <c r="BG5" s="22" t="s">
        <v>41</v>
      </c>
      <c r="BH5" s="23">
        <f>D6</f>
        <v>301</v>
      </c>
      <c r="BJ5" s="20"/>
      <c r="BK5" s="21"/>
      <c r="BL5" s="21"/>
      <c r="BM5" s="21"/>
      <c r="BN5" s="22" t="s">
        <v>41</v>
      </c>
      <c r="BO5" s="23">
        <v>400</v>
      </c>
      <c r="BQ5" s="20"/>
      <c r="BR5" s="21"/>
      <c r="BS5" s="21"/>
      <c r="BT5" s="21"/>
      <c r="BU5" s="22" t="s">
        <v>41</v>
      </c>
      <c r="BV5" s="23">
        <f>D21</f>
        <v>600</v>
      </c>
    </row>
    <row r="6" spans="2:74" ht="15.75" x14ac:dyDescent="0.25">
      <c r="B6" s="2"/>
      <c r="C6" s="2" t="s">
        <v>46</v>
      </c>
      <c r="D6" s="2">
        <v>301</v>
      </c>
      <c r="E6" s="2"/>
      <c r="F6" s="24">
        <v>5000</v>
      </c>
      <c r="H6" s="16" t="s">
        <v>31</v>
      </c>
      <c r="I6" s="17"/>
      <c r="J6" s="18"/>
      <c r="K6" s="27"/>
      <c r="L6" s="72" t="s">
        <v>5</v>
      </c>
      <c r="M6" s="67" t="s">
        <v>30</v>
      </c>
      <c r="N6" s="79">
        <f>X17</f>
        <v>3800</v>
      </c>
      <c r="O6" s="29"/>
      <c r="P6" s="29"/>
      <c r="Q6" s="62"/>
      <c r="S6" s="4" t="s">
        <v>1</v>
      </c>
      <c r="T6" s="4" t="s">
        <v>44</v>
      </c>
      <c r="U6" s="4" t="s">
        <v>45</v>
      </c>
      <c r="V6" s="4" t="s">
        <v>9</v>
      </c>
      <c r="W6" s="4" t="s">
        <v>10</v>
      </c>
      <c r="X6" s="4" t="s">
        <v>7</v>
      </c>
      <c r="Z6" s="4" t="s">
        <v>1</v>
      </c>
      <c r="AA6" s="4" t="s">
        <v>44</v>
      </c>
      <c r="AB6" s="4" t="s">
        <v>45</v>
      </c>
      <c r="AC6" s="4" t="s">
        <v>9</v>
      </c>
      <c r="AD6" s="4" t="s">
        <v>10</v>
      </c>
      <c r="AE6" s="4" t="s">
        <v>7</v>
      </c>
      <c r="AH6" s="4" t="s">
        <v>1</v>
      </c>
      <c r="AI6" s="4" t="s">
        <v>44</v>
      </c>
      <c r="AJ6" s="4" t="s">
        <v>45</v>
      </c>
      <c r="AK6" s="4" t="s">
        <v>9</v>
      </c>
      <c r="AL6" s="4" t="s">
        <v>10</v>
      </c>
      <c r="AM6" s="4" t="s">
        <v>7</v>
      </c>
      <c r="AO6" s="4" t="s">
        <v>1</v>
      </c>
      <c r="AP6" s="4" t="s">
        <v>44</v>
      </c>
      <c r="AQ6" s="4" t="s">
        <v>45</v>
      </c>
      <c r="AR6" s="4" t="s">
        <v>14</v>
      </c>
      <c r="AS6" s="4" t="s">
        <v>15</v>
      </c>
      <c r="AT6" s="4" t="s">
        <v>7</v>
      </c>
      <c r="AV6" s="4" t="s">
        <v>1</v>
      </c>
      <c r="AW6" s="4" t="s">
        <v>44</v>
      </c>
      <c r="AX6" s="4" t="s">
        <v>45</v>
      </c>
      <c r="AY6" s="4" t="s">
        <v>14</v>
      </c>
      <c r="AZ6" s="4" t="s">
        <v>15</v>
      </c>
      <c r="BA6" s="4" t="s">
        <v>7</v>
      </c>
      <c r="BC6" s="4" t="s">
        <v>1</v>
      </c>
      <c r="BD6" s="4" t="s">
        <v>44</v>
      </c>
      <c r="BE6" s="4" t="s">
        <v>45</v>
      </c>
      <c r="BF6" s="4" t="s">
        <v>9</v>
      </c>
      <c r="BG6" s="4" t="s">
        <v>10</v>
      </c>
      <c r="BH6" s="4" t="s">
        <v>7</v>
      </c>
      <c r="BJ6" s="4" t="s">
        <v>1</v>
      </c>
      <c r="BK6" s="4" t="s">
        <v>44</v>
      </c>
      <c r="BL6" s="4" t="s">
        <v>45</v>
      </c>
      <c r="BM6" s="4" t="s">
        <v>14</v>
      </c>
      <c r="BN6" s="4" t="s">
        <v>15</v>
      </c>
      <c r="BO6" s="4" t="s">
        <v>7</v>
      </c>
      <c r="BQ6" s="4" t="s">
        <v>1</v>
      </c>
      <c r="BR6" s="4" t="s">
        <v>44</v>
      </c>
      <c r="BS6" s="4" t="s">
        <v>45</v>
      </c>
      <c r="BT6" s="4" t="s">
        <v>9</v>
      </c>
      <c r="BU6" s="4" t="s">
        <v>10</v>
      </c>
      <c r="BV6" s="4" t="s">
        <v>7</v>
      </c>
    </row>
    <row r="7" spans="2:74" ht="15.75" x14ac:dyDescent="0.25">
      <c r="B7" s="2"/>
      <c r="C7" s="2" t="s">
        <v>47</v>
      </c>
      <c r="D7" s="2"/>
      <c r="E7" s="2"/>
      <c r="F7" s="2"/>
      <c r="H7" s="25"/>
      <c r="I7" s="5"/>
      <c r="J7" s="26"/>
      <c r="K7" s="19"/>
      <c r="L7" s="72" t="s">
        <v>5</v>
      </c>
      <c r="M7" s="73" t="s">
        <v>67</v>
      </c>
      <c r="N7" s="80">
        <f>AM11</f>
        <v>300</v>
      </c>
      <c r="O7" s="19"/>
      <c r="P7" s="19"/>
      <c r="Q7" s="18"/>
      <c r="S7" s="3">
        <v>45658</v>
      </c>
      <c r="T7" s="2"/>
      <c r="U7" s="2" t="s">
        <v>28</v>
      </c>
      <c r="V7" s="24">
        <f>E5</f>
        <v>5000</v>
      </c>
      <c r="W7" s="2"/>
      <c r="X7" s="2">
        <f>V7</f>
        <v>5000</v>
      </c>
      <c r="Z7" s="3">
        <v>45658</v>
      </c>
      <c r="AA7" s="2"/>
      <c r="AB7" s="2" t="s">
        <v>28</v>
      </c>
      <c r="AC7" s="2"/>
      <c r="AD7" s="2"/>
      <c r="AE7" s="2">
        <f>AC7</f>
        <v>0</v>
      </c>
      <c r="AH7" s="3">
        <v>45658</v>
      </c>
      <c r="AI7" s="2"/>
      <c r="AJ7" s="2" t="s">
        <v>28</v>
      </c>
      <c r="AK7" s="24">
        <f>E9</f>
        <v>300</v>
      </c>
      <c r="AL7" s="2"/>
      <c r="AM7" s="2">
        <f>AK7</f>
        <v>300</v>
      </c>
      <c r="AO7" s="3">
        <v>45658</v>
      </c>
      <c r="AP7" s="2"/>
      <c r="AQ7" s="2" t="s">
        <v>28</v>
      </c>
      <c r="AR7" s="2"/>
      <c r="AS7" s="24">
        <f>E9</f>
        <v>300</v>
      </c>
      <c r="AT7" s="2">
        <f>AS7</f>
        <v>300</v>
      </c>
      <c r="AV7" s="3">
        <v>45658</v>
      </c>
      <c r="AW7" s="2"/>
      <c r="AX7" s="2" t="s">
        <v>28</v>
      </c>
      <c r="AY7" s="2"/>
      <c r="AZ7" s="24">
        <f>F6</f>
        <v>5000</v>
      </c>
      <c r="BA7" s="2">
        <f>AZ7</f>
        <v>5000</v>
      </c>
      <c r="BC7" s="3">
        <v>45658</v>
      </c>
      <c r="BD7" s="2"/>
      <c r="BE7" s="2" t="s">
        <v>28</v>
      </c>
      <c r="BF7" s="2">
        <f>E29</f>
        <v>100</v>
      </c>
      <c r="BG7" s="2"/>
      <c r="BH7" s="2">
        <f>BF7</f>
        <v>100</v>
      </c>
      <c r="BJ7" s="3">
        <v>45658</v>
      </c>
      <c r="BK7" s="2"/>
      <c r="BL7" s="2" t="s">
        <v>28</v>
      </c>
      <c r="BM7" s="2"/>
      <c r="BN7" s="24">
        <f>F38</f>
        <v>0</v>
      </c>
      <c r="BO7" s="2">
        <f>BN7</f>
        <v>0</v>
      </c>
      <c r="BQ7" s="3">
        <v>45658</v>
      </c>
      <c r="BR7" s="2"/>
      <c r="BS7" s="2" t="s">
        <v>28</v>
      </c>
      <c r="BT7" s="2">
        <f>E21</f>
        <v>100</v>
      </c>
      <c r="BU7" s="2"/>
      <c r="BV7" s="2">
        <f>BT7</f>
        <v>100</v>
      </c>
    </row>
    <row r="8" spans="2:74" ht="15.75" x14ac:dyDescent="0.25">
      <c r="B8" s="59"/>
      <c r="C8" s="60"/>
      <c r="D8" s="60"/>
      <c r="E8" s="60"/>
      <c r="F8" s="61"/>
      <c r="H8" s="16" t="s">
        <v>32</v>
      </c>
      <c r="I8" s="17"/>
      <c r="J8" s="18"/>
      <c r="K8" s="19"/>
      <c r="L8" s="72" t="s">
        <v>5</v>
      </c>
      <c r="M8" s="73" t="s">
        <v>66</v>
      </c>
      <c r="N8" s="80">
        <f>AM20</f>
        <v>200</v>
      </c>
      <c r="O8" s="19"/>
      <c r="P8" s="19"/>
      <c r="Q8" s="18"/>
      <c r="S8" s="3"/>
      <c r="T8" s="2"/>
      <c r="U8" s="2" t="s">
        <v>28</v>
      </c>
      <c r="V8" s="24"/>
      <c r="W8" s="24">
        <f>F10</f>
        <v>300</v>
      </c>
      <c r="X8" s="2">
        <f>X7+V8-W8</f>
        <v>4700</v>
      </c>
      <c r="Z8" s="3"/>
      <c r="AA8" s="2"/>
      <c r="AB8" s="2"/>
      <c r="AC8" s="2"/>
      <c r="AD8" s="2"/>
      <c r="AE8" s="2">
        <f>AE7+AC8-AD8</f>
        <v>0</v>
      </c>
      <c r="AH8" s="3"/>
      <c r="AI8" s="2"/>
      <c r="AJ8" s="2"/>
      <c r="AK8" s="2"/>
      <c r="AL8" s="2"/>
      <c r="AM8" s="2">
        <f>AM7+AK8-AL8</f>
        <v>300</v>
      </c>
      <c r="AO8" s="3"/>
      <c r="AP8" s="2"/>
      <c r="AQ8" s="2"/>
      <c r="AR8" s="2"/>
      <c r="AS8" s="2"/>
      <c r="AT8" s="2">
        <f>+AT7+AS8-AR8</f>
        <v>300</v>
      </c>
      <c r="AV8" s="3"/>
      <c r="AW8" s="2"/>
      <c r="AX8" s="2"/>
      <c r="AY8" s="2"/>
      <c r="AZ8" s="2"/>
      <c r="BA8" s="2">
        <f>BA7+AZ8-AY8</f>
        <v>5000</v>
      </c>
      <c r="BC8" s="3"/>
      <c r="BD8" s="2"/>
      <c r="BE8" s="2"/>
      <c r="BF8" s="2"/>
      <c r="BG8" s="2"/>
      <c r="BH8" s="2">
        <f>BH7+BF8-BG8</f>
        <v>100</v>
      </c>
      <c r="BJ8" s="3"/>
      <c r="BK8" s="2"/>
      <c r="BL8" s="2"/>
      <c r="BM8" s="2"/>
      <c r="BN8" s="2"/>
      <c r="BO8" s="2">
        <f>BO7+BN8-BM8</f>
        <v>0</v>
      </c>
      <c r="BQ8" s="3"/>
      <c r="BR8" s="2"/>
      <c r="BS8" s="2"/>
      <c r="BT8" s="2"/>
      <c r="BU8" s="2"/>
      <c r="BV8" s="2">
        <f>BV7+BT8-BU8</f>
        <v>100</v>
      </c>
    </row>
    <row r="9" spans="2:74" ht="18.75" x14ac:dyDescent="0.3">
      <c r="B9" s="2">
        <v>1</v>
      </c>
      <c r="C9" s="1" t="s">
        <v>67</v>
      </c>
      <c r="D9" s="2">
        <v>104</v>
      </c>
      <c r="E9" s="24">
        <v>300</v>
      </c>
      <c r="F9" s="2"/>
      <c r="H9" s="25" t="s">
        <v>69</v>
      </c>
      <c r="I9" s="5"/>
      <c r="J9" s="56">
        <f>N7</f>
        <v>300</v>
      </c>
      <c r="K9" s="31"/>
      <c r="L9" s="72" t="s">
        <v>5</v>
      </c>
      <c r="M9" s="74" t="s">
        <v>65</v>
      </c>
      <c r="N9" s="81">
        <f>AM29</f>
        <v>50</v>
      </c>
      <c r="O9" s="31"/>
      <c r="P9" s="31"/>
      <c r="Q9" s="30"/>
      <c r="S9" s="3"/>
      <c r="T9" s="2"/>
      <c r="U9" s="2" t="s">
        <v>28</v>
      </c>
      <c r="V9" s="2"/>
      <c r="W9" s="24">
        <f>F14</f>
        <v>200</v>
      </c>
      <c r="X9" s="2">
        <f t="shared" ref="X9:X17" si="0">X8+V9-W9</f>
        <v>4500</v>
      </c>
      <c r="Z9" s="3"/>
      <c r="AA9" s="2"/>
      <c r="AB9" s="2"/>
      <c r="AC9" s="2"/>
      <c r="AD9" s="2"/>
      <c r="AE9" s="2">
        <f t="shared" ref="AE9:AE11" si="1">AE8+AC9-AD9</f>
        <v>0</v>
      </c>
      <c r="AH9" s="3"/>
      <c r="AI9" s="2"/>
      <c r="AJ9" s="2"/>
      <c r="AK9" s="2"/>
      <c r="AL9" s="2"/>
      <c r="AM9" s="2">
        <f t="shared" ref="AM9:AM11" si="2">AM8+AK9-AL9</f>
        <v>300</v>
      </c>
      <c r="AO9" s="3"/>
      <c r="AP9" s="2"/>
      <c r="AQ9" s="2"/>
      <c r="AR9" s="2"/>
      <c r="AS9" s="2"/>
      <c r="AT9" s="2">
        <f>+AT8+AS9-AR9</f>
        <v>300</v>
      </c>
      <c r="AV9" s="3"/>
      <c r="AW9" s="2"/>
      <c r="AX9" s="2"/>
      <c r="AY9" s="2"/>
      <c r="AZ9" s="2"/>
      <c r="BA9" s="2">
        <f t="shared" ref="BA9:BA11" si="3">BA8+AZ9-AY9</f>
        <v>5000</v>
      </c>
      <c r="BC9" s="3"/>
      <c r="BD9" s="2"/>
      <c r="BE9" s="2"/>
      <c r="BF9" s="2"/>
      <c r="BG9" s="2"/>
      <c r="BH9" s="2">
        <f t="shared" ref="BH9:BH11" si="4">BH8+BF9-BG9</f>
        <v>100</v>
      </c>
      <c r="BJ9" s="3"/>
      <c r="BK9" s="2"/>
      <c r="BL9" s="2"/>
      <c r="BM9" s="2"/>
      <c r="BN9" s="2"/>
      <c r="BO9" s="2">
        <f t="shared" ref="BO9:BO11" si="5">BO8+BN9-BM9</f>
        <v>0</v>
      </c>
      <c r="BQ9" s="3"/>
      <c r="BR9" s="2"/>
      <c r="BS9" s="2"/>
      <c r="BT9" s="2"/>
      <c r="BU9" s="2"/>
      <c r="BV9" s="2">
        <f t="shared" ref="BV9:BV11" si="6">BV8+BT9-BU9</f>
        <v>100</v>
      </c>
    </row>
    <row r="10" spans="2:74" ht="15.75" x14ac:dyDescent="0.25">
      <c r="B10" s="2"/>
      <c r="C10" s="2" t="s">
        <v>62</v>
      </c>
      <c r="D10" s="2">
        <v>200</v>
      </c>
      <c r="E10" s="2"/>
      <c r="F10" s="24">
        <v>300</v>
      </c>
      <c r="H10" s="25" t="s">
        <v>70</v>
      </c>
      <c r="I10" s="5"/>
      <c r="J10" s="56">
        <f>N8</f>
        <v>200</v>
      </c>
      <c r="K10" s="19"/>
      <c r="L10" s="72" t="s">
        <v>12</v>
      </c>
      <c r="M10" s="73"/>
      <c r="N10" s="19"/>
      <c r="O10" s="19"/>
      <c r="P10" s="19"/>
      <c r="Q10" s="18"/>
      <c r="S10" s="3"/>
      <c r="T10" s="2"/>
      <c r="U10" s="2" t="s">
        <v>28</v>
      </c>
      <c r="V10" s="2"/>
      <c r="W10" s="2">
        <f>F18</f>
        <v>50</v>
      </c>
      <c r="X10" s="2">
        <f t="shared" si="0"/>
        <v>4450</v>
      </c>
      <c r="Z10" s="3"/>
      <c r="AA10" s="2"/>
      <c r="AB10" s="2"/>
      <c r="AC10" s="2"/>
      <c r="AD10" s="2"/>
      <c r="AE10" s="2">
        <f t="shared" si="1"/>
        <v>0</v>
      </c>
      <c r="AH10" s="3"/>
      <c r="AI10" s="2"/>
      <c r="AJ10" s="2"/>
      <c r="AK10" s="2"/>
      <c r="AL10" s="2"/>
      <c r="AM10" s="2">
        <f t="shared" si="2"/>
        <v>300</v>
      </c>
      <c r="AO10" s="3"/>
      <c r="AP10" s="2"/>
      <c r="AQ10" s="2"/>
      <c r="AR10" s="2"/>
      <c r="AS10" s="2"/>
      <c r="AT10" s="2">
        <f t="shared" ref="AT10:AT11" si="7">+AT9+AS10-AR10</f>
        <v>300</v>
      </c>
      <c r="AV10" s="3"/>
      <c r="AW10" s="2"/>
      <c r="AX10" s="2"/>
      <c r="AY10" s="2"/>
      <c r="AZ10" s="2"/>
      <c r="BA10" s="2">
        <f t="shared" si="3"/>
        <v>5000</v>
      </c>
      <c r="BC10" s="3"/>
      <c r="BD10" s="2"/>
      <c r="BE10" s="2"/>
      <c r="BF10" s="2"/>
      <c r="BG10" s="2"/>
      <c r="BH10" s="2">
        <f t="shared" si="4"/>
        <v>100</v>
      </c>
      <c r="BJ10" s="3"/>
      <c r="BK10" s="2"/>
      <c r="BL10" s="2"/>
      <c r="BM10" s="2"/>
      <c r="BN10" s="2"/>
      <c r="BO10" s="2">
        <f t="shared" si="5"/>
        <v>0</v>
      </c>
      <c r="BQ10" s="3"/>
      <c r="BR10" s="2"/>
      <c r="BS10" s="2"/>
      <c r="BT10" s="2"/>
      <c r="BU10" s="2"/>
      <c r="BV10" s="2">
        <f t="shared" si="6"/>
        <v>100</v>
      </c>
    </row>
    <row r="11" spans="2:74" ht="15.75" x14ac:dyDescent="0.25">
      <c r="B11" s="2"/>
      <c r="C11" s="2" t="s">
        <v>48</v>
      </c>
      <c r="D11" s="2"/>
      <c r="E11" s="2"/>
      <c r="F11" s="2"/>
      <c r="H11" s="25" t="s">
        <v>71</v>
      </c>
      <c r="I11" s="5"/>
      <c r="J11" s="56">
        <f>N9</f>
        <v>50</v>
      </c>
      <c r="K11" s="19"/>
      <c r="L11" s="72" t="s">
        <v>34</v>
      </c>
      <c r="M11" s="73" t="s">
        <v>34</v>
      </c>
      <c r="N11" s="27"/>
      <c r="O11" s="27"/>
      <c r="P11" s="27">
        <f>BA11</f>
        <v>5000</v>
      </c>
      <c r="Q11" s="26"/>
      <c r="S11" s="3"/>
      <c r="T11" s="2"/>
      <c r="U11" s="2" t="s">
        <v>28</v>
      </c>
      <c r="V11" s="2"/>
      <c r="W11" s="2">
        <f>F22</f>
        <v>100</v>
      </c>
      <c r="X11" s="2">
        <f t="shared" si="0"/>
        <v>4350</v>
      </c>
      <c r="Z11" s="3"/>
      <c r="AA11" s="2"/>
      <c r="AB11" s="2"/>
      <c r="AC11" s="2"/>
      <c r="AD11" s="2"/>
      <c r="AE11" s="2">
        <f t="shared" si="1"/>
        <v>0</v>
      </c>
      <c r="AH11" s="3"/>
      <c r="AI11" s="2"/>
      <c r="AJ11" s="2"/>
      <c r="AK11" s="2"/>
      <c r="AL11" s="2"/>
      <c r="AM11" s="2">
        <f t="shared" si="2"/>
        <v>300</v>
      </c>
      <c r="AO11" s="3"/>
      <c r="AP11" s="2"/>
      <c r="AQ11" s="2"/>
      <c r="AR11" s="2"/>
      <c r="AS11" s="2"/>
      <c r="AT11" s="2">
        <f t="shared" si="7"/>
        <v>300</v>
      </c>
      <c r="AV11" s="3"/>
      <c r="AW11" s="2"/>
      <c r="AX11" s="2"/>
      <c r="AY11" s="2"/>
      <c r="AZ11" s="2"/>
      <c r="BA11" s="2">
        <f t="shared" si="3"/>
        <v>5000</v>
      </c>
      <c r="BC11" s="3"/>
      <c r="BD11" s="2"/>
      <c r="BE11" s="2"/>
      <c r="BF11" s="2"/>
      <c r="BG11" s="2"/>
      <c r="BH11" s="2">
        <f t="shared" si="4"/>
        <v>100</v>
      </c>
      <c r="BJ11" s="3"/>
      <c r="BK11" s="2"/>
      <c r="BL11" s="2"/>
      <c r="BM11" s="2"/>
      <c r="BN11" s="2"/>
      <c r="BO11" s="2">
        <f t="shared" si="5"/>
        <v>0</v>
      </c>
      <c r="BQ11" s="3"/>
      <c r="BR11" s="2"/>
      <c r="BS11" s="2"/>
      <c r="BT11" s="2"/>
      <c r="BU11" s="2"/>
      <c r="BV11" s="2">
        <f t="shared" si="6"/>
        <v>100</v>
      </c>
    </row>
    <row r="12" spans="2:74" ht="15.75" x14ac:dyDescent="0.25">
      <c r="B12" s="59"/>
      <c r="C12" s="60"/>
      <c r="D12" s="60"/>
      <c r="E12" s="60"/>
      <c r="F12" s="61"/>
      <c r="H12" s="43" t="s">
        <v>63</v>
      </c>
      <c r="I12" s="44"/>
      <c r="J12" s="57">
        <f>J9+J10+J11</f>
        <v>550</v>
      </c>
      <c r="K12" s="19"/>
      <c r="L12" s="72" t="s">
        <v>35</v>
      </c>
      <c r="M12" s="73"/>
      <c r="N12" s="27"/>
      <c r="O12" s="27"/>
      <c r="P12" s="27"/>
      <c r="Q12" s="26"/>
      <c r="S12" s="3"/>
      <c r="T12" s="2"/>
      <c r="U12" s="2" t="s">
        <v>28</v>
      </c>
      <c r="V12" s="2"/>
      <c r="W12" s="24">
        <f>F26</f>
        <v>250</v>
      </c>
      <c r="X12" s="2">
        <f t="shared" si="0"/>
        <v>4100</v>
      </c>
    </row>
    <row r="13" spans="2:74" ht="19.5" thickBot="1" x14ac:dyDescent="0.35">
      <c r="B13" s="2">
        <v>2</v>
      </c>
      <c r="C13" s="2" t="s">
        <v>66</v>
      </c>
      <c r="D13" s="2">
        <v>105</v>
      </c>
      <c r="E13" s="24">
        <v>200</v>
      </c>
      <c r="F13" s="2"/>
      <c r="H13" s="16" t="s">
        <v>17</v>
      </c>
      <c r="I13" s="17"/>
      <c r="J13" s="76">
        <f>J4+J12</f>
        <v>4350</v>
      </c>
      <c r="K13" s="27"/>
      <c r="L13" s="72" t="s">
        <v>85</v>
      </c>
      <c r="M13" s="73"/>
      <c r="N13" s="19"/>
      <c r="O13" s="19"/>
      <c r="P13" s="19"/>
      <c r="Q13" s="18"/>
      <c r="S13" s="3"/>
      <c r="T13" s="2"/>
      <c r="U13" s="2" t="s">
        <v>28</v>
      </c>
      <c r="V13" s="24"/>
      <c r="W13" s="2">
        <f>F30</f>
        <v>100</v>
      </c>
      <c r="X13" s="2">
        <f t="shared" si="0"/>
        <v>4000</v>
      </c>
      <c r="AH13" s="95" t="s">
        <v>20</v>
      </c>
      <c r="AI13" s="96"/>
      <c r="AJ13" s="96"/>
      <c r="AK13" s="96"/>
      <c r="AL13" s="96"/>
      <c r="AM13" s="97"/>
      <c r="AO13" s="95" t="s">
        <v>13</v>
      </c>
      <c r="AP13" s="96"/>
      <c r="AQ13" s="96"/>
      <c r="AR13" s="96"/>
      <c r="AS13" s="96"/>
      <c r="AT13" s="97"/>
      <c r="BQ13" s="95" t="s">
        <v>76</v>
      </c>
      <c r="BR13" s="96"/>
      <c r="BS13" s="96"/>
      <c r="BT13" s="96"/>
      <c r="BU13" s="96"/>
      <c r="BV13" s="97"/>
    </row>
    <row r="14" spans="2:74" ht="18.75" x14ac:dyDescent="0.3">
      <c r="B14" s="2"/>
      <c r="C14" s="2" t="s">
        <v>52</v>
      </c>
      <c r="D14" s="2">
        <v>209</v>
      </c>
      <c r="E14" s="2"/>
      <c r="F14" s="24">
        <v>200</v>
      </c>
      <c r="H14" s="16"/>
      <c r="I14" s="17"/>
      <c r="J14" s="18"/>
      <c r="K14" s="19"/>
      <c r="L14" s="72" t="s">
        <v>84</v>
      </c>
      <c r="M14" s="73" t="s">
        <v>23</v>
      </c>
      <c r="N14" s="19">
        <f>BV11</f>
        <v>100</v>
      </c>
      <c r="O14" s="19"/>
      <c r="P14" s="19"/>
      <c r="Q14" s="18"/>
      <c r="S14" s="32"/>
      <c r="T14" s="2"/>
      <c r="U14" s="2" t="s">
        <v>28</v>
      </c>
      <c r="V14" s="2"/>
      <c r="W14" s="55">
        <f>F34</f>
        <v>200</v>
      </c>
      <c r="X14" s="2">
        <f t="shared" si="0"/>
        <v>3800</v>
      </c>
      <c r="AH14" s="20"/>
      <c r="AI14" s="21"/>
      <c r="AJ14" s="21"/>
      <c r="AK14" s="21"/>
      <c r="AL14" s="22" t="s">
        <v>41</v>
      </c>
      <c r="AM14" s="52">
        <f>D13</f>
        <v>105</v>
      </c>
      <c r="AO14" s="20"/>
      <c r="AP14" s="21"/>
      <c r="AQ14" s="21"/>
      <c r="AR14" s="21"/>
      <c r="AS14" s="22" t="s">
        <v>41</v>
      </c>
      <c r="AT14" s="23">
        <v>201</v>
      </c>
      <c r="BQ14" s="20"/>
      <c r="BR14" s="21"/>
      <c r="BS14" s="21"/>
      <c r="BT14" s="21"/>
      <c r="BU14" s="22" t="s">
        <v>41</v>
      </c>
      <c r="BV14" s="23">
        <f>D25</f>
        <v>601</v>
      </c>
    </row>
    <row r="15" spans="2:74" ht="18.75" x14ac:dyDescent="0.3">
      <c r="B15" s="2"/>
      <c r="C15" s="2" t="s">
        <v>51</v>
      </c>
      <c r="D15" s="2"/>
      <c r="E15" s="2"/>
      <c r="F15" s="2"/>
      <c r="H15" s="108" t="s">
        <v>12</v>
      </c>
      <c r="I15" s="109"/>
      <c r="J15" s="110"/>
      <c r="K15" s="34"/>
      <c r="L15" s="72" t="s">
        <v>84</v>
      </c>
      <c r="M15" s="73" t="s">
        <v>22</v>
      </c>
      <c r="N15" s="19">
        <f>BV20</f>
        <v>250</v>
      </c>
      <c r="O15" s="19"/>
      <c r="P15" s="19"/>
      <c r="Q15" s="18"/>
      <c r="S15" s="3"/>
      <c r="T15" s="2"/>
      <c r="U15" s="2"/>
      <c r="V15" s="2"/>
      <c r="W15" s="2"/>
      <c r="X15" s="2">
        <f t="shared" si="0"/>
        <v>3800</v>
      </c>
      <c r="AH15" s="4" t="s">
        <v>1</v>
      </c>
      <c r="AI15" s="4" t="s">
        <v>44</v>
      </c>
      <c r="AJ15" s="4" t="s">
        <v>45</v>
      </c>
      <c r="AK15" s="4" t="s">
        <v>9</v>
      </c>
      <c r="AL15" s="4" t="s">
        <v>10</v>
      </c>
      <c r="AM15" s="4" t="s">
        <v>7</v>
      </c>
      <c r="AO15" s="4" t="s">
        <v>1</v>
      </c>
      <c r="AP15" s="4" t="s">
        <v>44</v>
      </c>
      <c r="AQ15" s="4" t="s">
        <v>45</v>
      </c>
      <c r="AR15" s="4" t="s">
        <v>14</v>
      </c>
      <c r="AS15" s="4" t="s">
        <v>15</v>
      </c>
      <c r="AT15" s="4" t="s">
        <v>7</v>
      </c>
      <c r="BQ15" s="4" t="s">
        <v>1</v>
      </c>
      <c r="BR15" s="4" t="s">
        <v>44</v>
      </c>
      <c r="BS15" s="4" t="s">
        <v>45</v>
      </c>
      <c r="BT15" s="4" t="s">
        <v>9</v>
      </c>
      <c r="BU15" s="4" t="s">
        <v>10</v>
      </c>
      <c r="BV15" s="4" t="s">
        <v>7</v>
      </c>
    </row>
    <row r="16" spans="2:74" ht="15.75" x14ac:dyDescent="0.25">
      <c r="B16" s="59"/>
      <c r="C16" s="60"/>
      <c r="D16" s="60"/>
      <c r="E16" s="60"/>
      <c r="F16" s="61"/>
      <c r="H16" s="16" t="s">
        <v>72</v>
      </c>
      <c r="I16" s="17"/>
      <c r="J16" s="18"/>
      <c r="K16" s="19"/>
      <c r="L16" s="72" t="s">
        <v>84</v>
      </c>
      <c r="M16" s="73" t="s">
        <v>78</v>
      </c>
      <c r="N16" s="19">
        <f>BV30</f>
        <v>100</v>
      </c>
      <c r="O16" s="19"/>
      <c r="P16" s="19"/>
      <c r="Q16" s="18"/>
      <c r="S16" s="3"/>
      <c r="T16" s="2"/>
      <c r="U16" s="2"/>
      <c r="V16" s="2"/>
      <c r="W16" s="2"/>
      <c r="X16" s="2">
        <f t="shared" si="0"/>
        <v>3800</v>
      </c>
      <c r="AH16" s="3">
        <v>45658</v>
      </c>
      <c r="AI16" s="2"/>
      <c r="AJ16" s="2" t="s">
        <v>28</v>
      </c>
      <c r="AK16" s="24">
        <f>E13</f>
        <v>200</v>
      </c>
      <c r="AL16" s="2"/>
      <c r="AM16" s="2">
        <f>AK16</f>
        <v>200</v>
      </c>
      <c r="AO16" s="3">
        <v>45658</v>
      </c>
      <c r="AP16" s="2"/>
      <c r="AQ16" s="2" t="s">
        <v>28</v>
      </c>
      <c r="AR16" s="2"/>
      <c r="AS16" s="24">
        <f>F26</f>
        <v>250</v>
      </c>
      <c r="AT16" s="2">
        <f>AS16</f>
        <v>250</v>
      </c>
      <c r="BQ16" s="3">
        <v>45658</v>
      </c>
      <c r="BR16" s="2"/>
      <c r="BS16" s="2" t="s">
        <v>28</v>
      </c>
      <c r="BT16" s="24">
        <f>E25</f>
        <v>250</v>
      </c>
      <c r="BU16" s="2"/>
      <c r="BV16" s="2">
        <f>BT16</f>
        <v>250</v>
      </c>
    </row>
    <row r="17" spans="2:74" ht="15.75" x14ac:dyDescent="0.25">
      <c r="B17" s="2">
        <v>3</v>
      </c>
      <c r="C17" s="2" t="s">
        <v>65</v>
      </c>
      <c r="D17" s="2">
        <v>106</v>
      </c>
      <c r="E17" s="2">
        <v>50</v>
      </c>
      <c r="F17" s="2"/>
      <c r="H17" s="25" t="s">
        <v>73</v>
      </c>
      <c r="I17" s="5"/>
      <c r="J17" s="26"/>
      <c r="K17" s="19"/>
      <c r="L17" s="72" t="s">
        <v>84</v>
      </c>
      <c r="M17" s="73" t="s">
        <v>49</v>
      </c>
      <c r="N17" s="27">
        <f>BV40</f>
        <v>200</v>
      </c>
      <c r="O17" s="27"/>
      <c r="P17" s="27"/>
      <c r="Q17" s="26"/>
      <c r="S17" s="3"/>
      <c r="T17" s="2"/>
      <c r="U17" s="2"/>
      <c r="V17" s="2"/>
      <c r="W17" s="2"/>
      <c r="X17" s="2">
        <f t="shared" si="0"/>
        <v>3800</v>
      </c>
      <c r="AH17" s="3"/>
      <c r="AI17" s="2"/>
      <c r="AJ17" s="2"/>
      <c r="AK17" s="2"/>
      <c r="AL17" s="2"/>
      <c r="AM17" s="2">
        <f>AM16+AK17-AL17</f>
        <v>200</v>
      </c>
      <c r="AO17" s="3"/>
      <c r="AP17" s="2"/>
      <c r="AQ17" s="2"/>
      <c r="AR17" s="2"/>
      <c r="AS17" s="2"/>
      <c r="AT17" s="2">
        <f>+AT16+AS17-AR17</f>
        <v>250</v>
      </c>
      <c r="BQ17" s="3"/>
      <c r="BR17" s="2"/>
      <c r="BS17" s="2"/>
      <c r="BT17" s="2"/>
      <c r="BU17" s="2"/>
      <c r="BV17" s="2">
        <f>BV16+BT17-BU17</f>
        <v>250</v>
      </c>
    </row>
    <row r="18" spans="2:74" x14ac:dyDescent="0.25">
      <c r="B18" s="2"/>
      <c r="C18" s="1" t="s">
        <v>68</v>
      </c>
      <c r="D18" s="2">
        <v>101</v>
      </c>
      <c r="E18" s="2"/>
      <c r="F18" s="2">
        <v>50</v>
      </c>
      <c r="H18" s="16" t="s">
        <v>74</v>
      </c>
      <c r="I18" s="5"/>
      <c r="J18" s="18"/>
      <c r="K18" s="19"/>
      <c r="L18" s="69"/>
      <c r="M18" s="68"/>
      <c r="N18" s="19"/>
      <c r="O18" s="19"/>
      <c r="P18" s="19"/>
      <c r="Q18" s="18"/>
      <c r="AH18" s="3"/>
      <c r="AI18" s="2"/>
      <c r="AJ18" s="2"/>
      <c r="AK18" s="2"/>
      <c r="AL18" s="2"/>
      <c r="AM18" s="2">
        <f t="shared" ref="AM18:AM20" si="8">AM17+AK18-AL18</f>
        <v>200</v>
      </c>
      <c r="AO18" s="3"/>
      <c r="AP18" s="2"/>
      <c r="AQ18" s="2"/>
      <c r="AR18" s="2"/>
      <c r="AS18" s="2"/>
      <c r="AT18" s="2">
        <f>+AT17+AS18-AR18</f>
        <v>250</v>
      </c>
      <c r="BQ18" s="3"/>
      <c r="BR18" s="2"/>
      <c r="BS18" s="2"/>
      <c r="BT18" s="2"/>
      <c r="BU18" s="2"/>
      <c r="BV18" s="2">
        <f t="shared" ref="BV18:BV20" si="9">BV17+BT18-BU18</f>
        <v>250</v>
      </c>
    </row>
    <row r="19" spans="2:74" x14ac:dyDescent="0.25">
      <c r="B19" s="2"/>
      <c r="C19" s="2" t="s">
        <v>53</v>
      </c>
      <c r="D19" s="2"/>
      <c r="E19" s="2"/>
      <c r="F19" s="2"/>
      <c r="H19" s="16" t="s">
        <v>50</v>
      </c>
      <c r="I19" s="17"/>
      <c r="J19" s="33">
        <f>J16+J17+J18</f>
        <v>0</v>
      </c>
      <c r="K19" s="19"/>
      <c r="L19" s="69"/>
      <c r="M19" s="68"/>
      <c r="N19" s="19"/>
      <c r="O19" s="19"/>
      <c r="P19" s="19"/>
      <c r="Q19" s="18"/>
      <c r="AH19" s="3"/>
      <c r="AI19" s="2"/>
      <c r="AJ19" s="2"/>
      <c r="AK19" s="2"/>
      <c r="AL19" s="2"/>
      <c r="AM19" s="2">
        <f t="shared" si="8"/>
        <v>200</v>
      </c>
      <c r="AO19" s="3"/>
      <c r="AP19" s="2"/>
      <c r="AQ19" s="2"/>
      <c r="AR19" s="2"/>
      <c r="AS19" s="2"/>
      <c r="AT19" s="2">
        <f t="shared" ref="AT19:AT20" si="10">+AT18+AS19-AR19</f>
        <v>250</v>
      </c>
      <c r="BQ19" s="3"/>
      <c r="BR19" s="2"/>
      <c r="BS19" s="2"/>
      <c r="BT19" s="2"/>
      <c r="BU19" s="2"/>
      <c r="BV19" s="2">
        <f t="shared" si="9"/>
        <v>250</v>
      </c>
    </row>
    <row r="20" spans="2:74" ht="18.75" x14ac:dyDescent="0.3">
      <c r="B20" s="59"/>
      <c r="C20" s="60"/>
      <c r="D20" s="60"/>
      <c r="E20" s="60"/>
      <c r="F20" s="61"/>
      <c r="H20" s="108" t="s">
        <v>25</v>
      </c>
      <c r="I20" s="109"/>
      <c r="J20" s="110"/>
      <c r="K20" s="19"/>
      <c r="L20" s="69"/>
      <c r="M20" s="68"/>
      <c r="N20" s="27"/>
      <c r="O20" s="27"/>
      <c r="P20" s="27"/>
      <c r="Q20" s="26"/>
      <c r="AH20" s="3"/>
      <c r="AI20" s="2"/>
      <c r="AJ20" s="2"/>
      <c r="AK20" s="2"/>
      <c r="AL20" s="2"/>
      <c r="AM20" s="2">
        <f t="shared" si="8"/>
        <v>200</v>
      </c>
      <c r="AO20" s="3"/>
      <c r="AP20" s="2"/>
      <c r="AQ20" s="2"/>
      <c r="AR20" s="2"/>
      <c r="AS20" s="2"/>
      <c r="AT20" s="2">
        <f t="shared" si="10"/>
        <v>250</v>
      </c>
      <c r="BQ20" s="3"/>
      <c r="BR20" s="2"/>
      <c r="BS20" s="2"/>
      <c r="BT20" s="2"/>
      <c r="BU20" s="2"/>
      <c r="BV20" s="2">
        <f t="shared" si="9"/>
        <v>250</v>
      </c>
    </row>
    <row r="21" spans="2:74" x14ac:dyDescent="0.25">
      <c r="B21" s="2">
        <v>4</v>
      </c>
      <c r="C21" s="2"/>
      <c r="D21" s="2">
        <v>600</v>
      </c>
      <c r="E21" s="2">
        <v>100</v>
      </c>
      <c r="F21" s="2"/>
      <c r="H21" s="16" t="s">
        <v>34</v>
      </c>
      <c r="I21" s="17"/>
      <c r="J21" s="18">
        <f>P11</f>
        <v>5000</v>
      </c>
      <c r="K21" s="34"/>
      <c r="L21" s="69"/>
      <c r="M21" s="68"/>
      <c r="N21" s="19"/>
      <c r="O21" s="27"/>
      <c r="P21" s="19"/>
      <c r="Q21" s="18"/>
    </row>
    <row r="22" spans="2:74" ht="19.5" thickBot="1" x14ac:dyDescent="0.35">
      <c r="B22" s="2"/>
      <c r="C22" s="2" t="s">
        <v>52</v>
      </c>
      <c r="D22" s="2">
        <v>101</v>
      </c>
      <c r="E22" s="2"/>
      <c r="F22" s="2">
        <v>100</v>
      </c>
      <c r="H22" s="16" t="s">
        <v>35</v>
      </c>
      <c r="I22" s="17"/>
      <c r="J22" s="18"/>
      <c r="K22" s="31"/>
      <c r="L22" s="70"/>
      <c r="M22" s="36"/>
      <c r="N22" s="35">
        <f>SUM(N6:N21)</f>
        <v>5000</v>
      </c>
      <c r="O22" s="27"/>
      <c r="P22" s="35">
        <f t="shared" ref="P22" si="11">SUM(P6:P21)</f>
        <v>5000</v>
      </c>
      <c r="Q22" s="63"/>
      <c r="AH22" s="95" t="s">
        <v>65</v>
      </c>
      <c r="AI22" s="96"/>
      <c r="AJ22" s="96"/>
      <c r="AK22" s="96"/>
      <c r="AL22" s="96"/>
      <c r="AM22" s="97"/>
      <c r="AO22" s="95" t="s">
        <v>55</v>
      </c>
      <c r="AP22" s="96"/>
      <c r="AQ22" s="96"/>
      <c r="AR22" s="96"/>
      <c r="AS22" s="96"/>
      <c r="AT22" s="97"/>
      <c r="BQ22" s="95" t="s">
        <v>81</v>
      </c>
      <c r="BR22" s="96"/>
      <c r="BS22" s="96"/>
      <c r="BT22" s="96"/>
      <c r="BU22" s="96"/>
      <c r="BV22" s="97"/>
    </row>
    <row r="23" spans="2:74" ht="19.5" thickTop="1" x14ac:dyDescent="0.3">
      <c r="B23" s="2"/>
      <c r="C23" s="2" t="s">
        <v>57</v>
      </c>
      <c r="D23" s="2"/>
      <c r="E23" s="2"/>
      <c r="F23" s="2"/>
      <c r="H23" s="16" t="s">
        <v>36</v>
      </c>
      <c r="I23" s="17"/>
      <c r="J23" s="18"/>
      <c r="L23" s="71"/>
      <c r="M23" s="37"/>
      <c r="N23" s="37"/>
      <c r="O23" s="78"/>
      <c r="P23" s="37"/>
      <c r="Q23" s="38"/>
      <c r="AH23" s="48"/>
      <c r="AI23" s="49"/>
      <c r="AJ23" s="49"/>
      <c r="AK23" s="49"/>
      <c r="AL23" s="22" t="s">
        <v>41</v>
      </c>
      <c r="AM23" s="23">
        <f>D17</f>
        <v>106</v>
      </c>
      <c r="AO23" s="20"/>
      <c r="AP23" s="21"/>
      <c r="AQ23" s="21"/>
      <c r="AR23" s="21"/>
      <c r="AS23" s="22" t="s">
        <v>41</v>
      </c>
      <c r="AT23" s="23">
        <v>209</v>
      </c>
      <c r="BQ23" s="95" t="s">
        <v>76</v>
      </c>
      <c r="BR23" s="96"/>
      <c r="BS23" s="96"/>
      <c r="BT23" s="96"/>
      <c r="BU23" s="96"/>
      <c r="BV23" s="97"/>
    </row>
    <row r="24" spans="2:74" ht="18.75" x14ac:dyDescent="0.3">
      <c r="B24" s="59"/>
      <c r="C24" s="60">
        <v>0</v>
      </c>
      <c r="D24" s="60"/>
      <c r="E24" s="60"/>
      <c r="F24" s="61"/>
      <c r="H24" s="25" t="s">
        <v>54</v>
      </c>
      <c r="I24" s="5"/>
      <c r="J24" s="26"/>
      <c r="AH24" s="4" t="s">
        <v>1</v>
      </c>
      <c r="AI24" s="4" t="s">
        <v>44</v>
      </c>
      <c r="AJ24" s="4" t="s">
        <v>45</v>
      </c>
      <c r="AK24" s="4" t="s">
        <v>9</v>
      </c>
      <c r="AL24" s="4" t="s">
        <v>10</v>
      </c>
      <c r="AM24" s="4" t="s">
        <v>7</v>
      </c>
      <c r="AO24" s="4" t="s">
        <v>1</v>
      </c>
      <c r="AP24" s="4" t="s">
        <v>44</v>
      </c>
      <c r="AQ24" s="4" t="s">
        <v>45</v>
      </c>
      <c r="AR24" s="4" t="s">
        <v>14</v>
      </c>
      <c r="AS24" s="4" t="s">
        <v>15</v>
      </c>
      <c r="AT24" s="4" t="s">
        <v>7</v>
      </c>
      <c r="BQ24" s="50"/>
      <c r="BR24" s="51"/>
      <c r="BS24" s="51"/>
      <c r="BT24" s="51"/>
      <c r="BU24" s="22" t="s">
        <v>41</v>
      </c>
      <c r="BV24" s="23">
        <f>D29</f>
        <v>602</v>
      </c>
    </row>
    <row r="25" spans="2:74" x14ac:dyDescent="0.25">
      <c r="B25" s="2">
        <v>5</v>
      </c>
      <c r="C25" s="2" t="s">
        <v>22</v>
      </c>
      <c r="D25" s="2">
        <v>601</v>
      </c>
      <c r="E25" s="24">
        <v>250</v>
      </c>
      <c r="F25" s="2"/>
      <c r="H25" s="16" t="s">
        <v>75</v>
      </c>
      <c r="I25" s="17"/>
      <c r="J25" s="56">
        <f>N14</f>
        <v>100</v>
      </c>
      <c r="AH25" s="3">
        <v>45658</v>
      </c>
      <c r="AI25" s="2"/>
      <c r="AJ25" s="2" t="s">
        <v>28</v>
      </c>
      <c r="AK25" s="24">
        <f>E17</f>
        <v>50</v>
      </c>
      <c r="AL25" s="2"/>
      <c r="AM25" s="2">
        <f>AK25</f>
        <v>50</v>
      </c>
      <c r="AO25" s="3">
        <v>45658</v>
      </c>
      <c r="AP25" s="2"/>
      <c r="AQ25" s="2" t="s">
        <v>28</v>
      </c>
      <c r="AR25" s="2"/>
      <c r="AS25" s="24">
        <f>F14</f>
        <v>200</v>
      </c>
      <c r="AT25" s="2">
        <f>AS25</f>
        <v>200</v>
      </c>
      <c r="BQ25" s="4" t="s">
        <v>1</v>
      </c>
      <c r="BR25" s="4" t="s">
        <v>44</v>
      </c>
      <c r="BS25" s="4" t="s">
        <v>45</v>
      </c>
      <c r="BT25" s="4" t="s">
        <v>9</v>
      </c>
      <c r="BU25" s="4" t="s">
        <v>10</v>
      </c>
      <c r="BV25" s="4" t="s">
        <v>7</v>
      </c>
    </row>
    <row r="26" spans="2:74" x14ac:dyDescent="0.25">
      <c r="B26" s="2"/>
      <c r="C26" s="2" t="s">
        <v>59</v>
      </c>
      <c r="D26" s="2">
        <v>101</v>
      </c>
      <c r="E26" s="2"/>
      <c r="F26" s="24">
        <v>250</v>
      </c>
      <c r="H26" s="25" t="s">
        <v>77</v>
      </c>
      <c r="I26" s="5"/>
      <c r="J26" s="56">
        <f>N15</f>
        <v>250</v>
      </c>
      <c r="AH26" s="3"/>
      <c r="AI26" s="2"/>
      <c r="AJ26" s="2"/>
      <c r="AK26" s="2"/>
      <c r="AL26" s="2"/>
      <c r="AM26" s="2">
        <f>AM25+AK26-AL26</f>
        <v>50</v>
      </c>
      <c r="AO26" s="3"/>
      <c r="AP26" s="2"/>
      <c r="AQ26" s="2"/>
      <c r="AR26" s="2"/>
      <c r="AS26" s="2"/>
      <c r="AT26" s="2">
        <f>+AT25+AS26-AR26</f>
        <v>200</v>
      </c>
      <c r="BQ26" s="3">
        <v>45658</v>
      </c>
      <c r="BR26" s="2"/>
      <c r="BS26" s="2" t="s">
        <v>28</v>
      </c>
      <c r="BT26" s="24">
        <f>E29</f>
        <v>100</v>
      </c>
      <c r="BU26" s="2"/>
      <c r="BV26" s="2">
        <f>BT26</f>
        <v>100</v>
      </c>
    </row>
    <row r="27" spans="2:74" x14ac:dyDescent="0.25">
      <c r="B27" s="2"/>
      <c r="C27" s="2" t="s">
        <v>57</v>
      </c>
      <c r="D27" s="2"/>
      <c r="E27" s="2"/>
      <c r="F27" s="2"/>
      <c r="H27" s="25" t="s">
        <v>80</v>
      </c>
      <c r="I27" s="5"/>
      <c r="J27" s="56">
        <f>N16</f>
        <v>100</v>
      </c>
      <c r="AH27" s="3"/>
      <c r="AI27" s="2"/>
      <c r="AJ27" s="2"/>
      <c r="AK27" s="2"/>
      <c r="AL27" s="2"/>
      <c r="AM27" s="2">
        <f t="shared" ref="AM27:AM29" si="12">AM26+AK27-AL27</f>
        <v>50</v>
      </c>
      <c r="AO27" s="3"/>
      <c r="AP27" s="2"/>
      <c r="AQ27" s="2"/>
      <c r="AR27" s="2"/>
      <c r="AS27" s="2"/>
      <c r="AT27" s="2">
        <f>+AT26+AS27-AR27</f>
        <v>200</v>
      </c>
      <c r="BQ27" s="3"/>
      <c r="BR27" s="2"/>
      <c r="BS27" s="2"/>
      <c r="BT27" s="2"/>
      <c r="BU27" s="2"/>
      <c r="BV27" s="2">
        <f>BV26+BT27-BU27</f>
        <v>100</v>
      </c>
    </row>
    <row r="28" spans="2:74" x14ac:dyDescent="0.25">
      <c r="B28" s="59"/>
      <c r="C28" s="60"/>
      <c r="D28" s="60"/>
      <c r="E28" s="60"/>
      <c r="F28" s="61"/>
      <c r="H28" s="25" t="s">
        <v>83</v>
      </c>
      <c r="I28" s="5"/>
      <c r="J28" s="56">
        <f>N17</f>
        <v>200</v>
      </c>
      <c r="AH28" s="3"/>
      <c r="AI28" s="2"/>
      <c r="AJ28" s="2"/>
      <c r="AK28" s="2"/>
      <c r="AL28" s="2"/>
      <c r="AM28" s="2">
        <f t="shared" si="12"/>
        <v>50</v>
      </c>
      <c r="AO28" s="3"/>
      <c r="AP28" s="2"/>
      <c r="AQ28" s="2"/>
      <c r="AR28" s="2"/>
      <c r="AS28" s="2"/>
      <c r="AT28" s="2">
        <f t="shared" ref="AT28:AT29" si="13">+AT27+AS28-AR28</f>
        <v>200</v>
      </c>
      <c r="BQ28" s="3"/>
      <c r="BR28" s="2"/>
      <c r="BS28" s="2"/>
      <c r="BT28" s="2"/>
      <c r="BU28" s="2"/>
      <c r="BV28" s="2">
        <f>BV27+BT28-BU28</f>
        <v>100</v>
      </c>
    </row>
    <row r="29" spans="2:74" ht="15.75" thickBot="1" x14ac:dyDescent="0.3">
      <c r="B29" s="2">
        <v>20</v>
      </c>
      <c r="C29" s="2" t="s">
        <v>78</v>
      </c>
      <c r="D29" s="2">
        <v>602</v>
      </c>
      <c r="E29" s="2">
        <v>100</v>
      </c>
      <c r="F29" s="2"/>
      <c r="H29" s="39" t="s">
        <v>56</v>
      </c>
      <c r="I29" s="5"/>
      <c r="J29" s="75">
        <f>J25+J26+J27+J28</f>
        <v>650</v>
      </c>
      <c r="AH29" s="3"/>
      <c r="AI29" s="2"/>
      <c r="AJ29" s="2"/>
      <c r="AK29" s="2"/>
      <c r="AL29" s="2"/>
      <c r="AM29" s="2">
        <f t="shared" si="12"/>
        <v>50</v>
      </c>
      <c r="AO29" s="3"/>
      <c r="AP29" s="2"/>
      <c r="AQ29" s="2"/>
      <c r="AR29" s="2"/>
      <c r="AS29" s="2"/>
      <c r="AT29" s="2">
        <f t="shared" si="13"/>
        <v>200</v>
      </c>
      <c r="BQ29" s="3"/>
      <c r="BR29" s="2"/>
      <c r="BS29" s="2"/>
      <c r="BT29" s="2"/>
      <c r="BU29" s="2"/>
      <c r="BV29" s="2">
        <f>BV28+BT29-BU29</f>
        <v>100</v>
      </c>
    </row>
    <row r="30" spans="2:74" ht="15.75" thickTop="1" x14ac:dyDescent="0.25">
      <c r="B30" s="2"/>
      <c r="C30" s="2" t="s">
        <v>52</v>
      </c>
      <c r="D30" s="2">
        <v>101</v>
      </c>
      <c r="E30" s="2"/>
      <c r="F30" s="2">
        <v>100</v>
      </c>
      <c r="H30" s="45" t="s">
        <v>58</v>
      </c>
      <c r="I30" s="46"/>
      <c r="J30" s="47">
        <f>J21-J22+J23-J29</f>
        <v>4350</v>
      </c>
      <c r="BQ30" s="3"/>
      <c r="BR30" s="2"/>
      <c r="BS30" s="2"/>
      <c r="BT30" s="2"/>
      <c r="BU30" s="2"/>
      <c r="BV30" s="2">
        <f>BV29+BT30-BU30</f>
        <v>100</v>
      </c>
    </row>
    <row r="31" spans="2:74" ht="21.75" thickBot="1" x14ac:dyDescent="0.4">
      <c r="B31" s="2"/>
      <c r="C31" s="2" t="s">
        <v>60</v>
      </c>
      <c r="D31" s="2"/>
      <c r="E31" s="2"/>
      <c r="F31" s="2"/>
      <c r="H31" s="25" t="s">
        <v>64</v>
      </c>
      <c r="I31" s="5"/>
      <c r="J31" s="77">
        <f>J19+J30</f>
        <v>4350</v>
      </c>
    </row>
    <row r="32" spans="2:74" ht="18.75" x14ac:dyDescent="0.3">
      <c r="B32" s="59"/>
      <c r="C32" s="60"/>
      <c r="D32" s="60"/>
      <c r="E32" s="60"/>
      <c r="F32" s="61"/>
      <c r="H32" s="40"/>
      <c r="I32" s="41"/>
      <c r="J32" s="42"/>
      <c r="BQ32" s="95" t="s">
        <v>82</v>
      </c>
      <c r="BR32" s="96"/>
      <c r="BS32" s="96"/>
      <c r="BT32" s="96"/>
      <c r="BU32" s="96"/>
      <c r="BV32" s="97"/>
    </row>
    <row r="33" spans="2:74" x14ac:dyDescent="0.25">
      <c r="B33" s="2">
        <v>26</v>
      </c>
      <c r="C33" s="2" t="s">
        <v>49</v>
      </c>
      <c r="D33" s="2">
        <v>603</v>
      </c>
      <c r="E33" s="24">
        <v>200</v>
      </c>
      <c r="F33" s="2"/>
      <c r="BQ33" s="95" t="s">
        <v>79</v>
      </c>
      <c r="BR33" s="96"/>
      <c r="BS33" s="96"/>
      <c r="BT33" s="96"/>
      <c r="BU33" s="96"/>
      <c r="BV33" s="97"/>
    </row>
    <row r="34" spans="2:74" ht="18.75" x14ac:dyDescent="0.3">
      <c r="B34" s="2"/>
      <c r="C34" s="2" t="s">
        <v>52</v>
      </c>
      <c r="D34" s="2">
        <v>101</v>
      </c>
      <c r="E34" s="2"/>
      <c r="F34" s="24">
        <v>200</v>
      </c>
      <c r="BQ34" s="53"/>
      <c r="BR34" s="54"/>
      <c r="BS34" s="54"/>
      <c r="BT34" s="54"/>
      <c r="BU34" s="22" t="s">
        <v>41</v>
      </c>
      <c r="BV34" s="23">
        <f>D2657</f>
        <v>0</v>
      </c>
    </row>
    <row r="35" spans="2:74" x14ac:dyDescent="0.25">
      <c r="B35" s="2"/>
      <c r="C35" s="2" t="s">
        <v>61</v>
      </c>
      <c r="D35" s="2"/>
      <c r="E35" s="2"/>
      <c r="F35" s="2"/>
      <c r="BQ35" s="4" t="s">
        <v>1</v>
      </c>
      <c r="BR35" s="4" t="s">
        <v>44</v>
      </c>
      <c r="BS35" s="4" t="s">
        <v>45</v>
      </c>
      <c r="BT35" s="4" t="s">
        <v>9</v>
      </c>
      <c r="BU35" s="4" t="s">
        <v>10</v>
      </c>
      <c r="BV35" s="4" t="s">
        <v>7</v>
      </c>
    </row>
    <row r="36" spans="2:74" x14ac:dyDescent="0.25">
      <c r="B36" s="59"/>
      <c r="C36" s="60"/>
      <c r="D36" s="60"/>
      <c r="E36" s="60"/>
      <c r="F36" s="61"/>
      <c r="BQ36" s="3">
        <v>45658</v>
      </c>
      <c r="BR36" s="2"/>
      <c r="BS36" s="2" t="s">
        <v>28</v>
      </c>
      <c r="BT36" s="24">
        <f>E33</f>
        <v>200</v>
      </c>
      <c r="BU36" s="2"/>
      <c r="BV36" s="2">
        <f>BT36</f>
        <v>200</v>
      </c>
    </row>
    <row r="37" spans="2:74" x14ac:dyDescent="0.25">
      <c r="B37" s="2"/>
      <c r="C37" s="2"/>
      <c r="D37" s="2"/>
      <c r="E37" s="24"/>
      <c r="F37" s="2"/>
      <c r="BQ37" s="3"/>
      <c r="BR37" s="2"/>
      <c r="BS37" s="2"/>
      <c r="BT37" s="2"/>
      <c r="BU37" s="2"/>
      <c r="BV37" s="2">
        <f>BV36+BT37-BU37</f>
        <v>200</v>
      </c>
    </row>
    <row r="38" spans="2:74" x14ac:dyDescent="0.25">
      <c r="B38" s="2"/>
      <c r="C38" s="2"/>
      <c r="D38" s="2"/>
      <c r="E38" s="2"/>
      <c r="F38" s="24"/>
      <c r="BQ38" s="3"/>
      <c r="BR38" s="2"/>
      <c r="BS38" s="2"/>
      <c r="BT38" s="2"/>
      <c r="BU38" s="2"/>
      <c r="BV38" s="2">
        <f>BV37+BT38-BU38</f>
        <v>200</v>
      </c>
    </row>
    <row r="39" spans="2:74" x14ac:dyDescent="0.25">
      <c r="B39" s="2"/>
      <c r="C39" s="2"/>
      <c r="D39" s="2"/>
      <c r="E39" s="2"/>
      <c r="F39" s="2"/>
      <c r="BQ39" s="3"/>
      <c r="BR39" s="2"/>
      <c r="BS39" s="2"/>
      <c r="BT39" s="2"/>
      <c r="BU39" s="2"/>
      <c r="BV39" s="2">
        <f>BV38+BT39-BU39</f>
        <v>200</v>
      </c>
    </row>
    <row r="40" spans="2:74" x14ac:dyDescent="0.25">
      <c r="B40" s="98"/>
      <c r="C40" s="99"/>
      <c r="D40" s="99"/>
      <c r="E40" s="99"/>
      <c r="F40" s="100"/>
      <c r="BQ40" s="3"/>
      <c r="BR40" s="2"/>
      <c r="BS40" s="2"/>
      <c r="BT40" s="2"/>
      <c r="BU40" s="2"/>
      <c r="BV40" s="2">
        <f>BV39+BT40-BU40</f>
        <v>200</v>
      </c>
    </row>
    <row r="64" spans="3:3" x14ac:dyDescent="0.25">
      <c r="C64" s="27"/>
    </row>
    <row r="65" spans="3:3" x14ac:dyDescent="0.25">
      <c r="C65" s="10"/>
    </row>
    <row r="96" spans="71:76" x14ac:dyDescent="0.25">
      <c r="BS96" s="95" t="s">
        <v>23</v>
      </c>
      <c r="BT96" s="96"/>
      <c r="BU96" s="96"/>
      <c r="BV96" s="96"/>
      <c r="BW96" s="96"/>
      <c r="BX96" s="97"/>
    </row>
    <row r="97" spans="71:76" x14ac:dyDescent="0.25">
      <c r="BS97" s="4" t="s">
        <v>1</v>
      </c>
      <c r="BT97" s="4" t="s">
        <v>44</v>
      </c>
      <c r="BU97" s="4" t="s">
        <v>38</v>
      </c>
      <c r="BV97" s="4" t="s">
        <v>9</v>
      </c>
      <c r="BW97" s="4" t="s">
        <v>10</v>
      </c>
      <c r="BX97" s="4" t="s">
        <v>7</v>
      </c>
    </row>
    <row r="98" spans="71:76" x14ac:dyDescent="0.25">
      <c r="BS98" s="3">
        <v>45658</v>
      </c>
      <c r="BT98" s="2"/>
      <c r="BU98" s="2"/>
      <c r="BV98" s="2"/>
      <c r="BW98" s="2"/>
      <c r="BX98" s="2">
        <f>BV98</f>
        <v>0</v>
      </c>
    </row>
    <row r="99" spans="71:76" x14ac:dyDescent="0.25">
      <c r="BS99" s="3"/>
      <c r="BT99" s="2"/>
      <c r="BU99" s="2"/>
      <c r="BV99" s="2"/>
      <c r="BW99" s="2"/>
      <c r="BX99" s="2">
        <f>BX98+BV99-BW99</f>
        <v>0</v>
      </c>
    </row>
    <row r="100" spans="71:76" x14ac:dyDescent="0.25">
      <c r="BS100" s="3"/>
      <c r="BT100" s="2"/>
      <c r="BU100" s="2"/>
      <c r="BV100" s="2"/>
      <c r="BW100" s="2"/>
      <c r="BX100" s="2">
        <f t="shared" ref="BX100:BX101" si="14">BX99+BV100-BW100</f>
        <v>0</v>
      </c>
    </row>
    <row r="101" spans="71:76" x14ac:dyDescent="0.25">
      <c r="BS101" s="3"/>
      <c r="BT101" s="2"/>
      <c r="BU101" s="2"/>
      <c r="BV101" s="2"/>
      <c r="BW101" s="2"/>
      <c r="BX101" s="2">
        <f t="shared" si="14"/>
        <v>0</v>
      </c>
    </row>
    <row r="103" spans="71:76" x14ac:dyDescent="0.25">
      <c r="BS103" s="95" t="s">
        <v>49</v>
      </c>
      <c r="BT103" s="96"/>
      <c r="BU103" s="96"/>
      <c r="BV103" s="96"/>
      <c r="BW103" s="96"/>
      <c r="BX103" s="97"/>
    </row>
    <row r="104" spans="71:76" x14ac:dyDescent="0.25">
      <c r="BS104" s="4" t="s">
        <v>1</v>
      </c>
      <c r="BT104" s="4" t="s">
        <v>44</v>
      </c>
      <c r="BU104" s="4" t="s">
        <v>38</v>
      </c>
      <c r="BV104" s="4" t="s">
        <v>9</v>
      </c>
      <c r="BW104" s="4" t="s">
        <v>10</v>
      </c>
      <c r="BX104" s="4" t="s">
        <v>7</v>
      </c>
    </row>
    <row r="105" spans="71:76" x14ac:dyDescent="0.25">
      <c r="BS105" s="3">
        <v>45658</v>
      </c>
      <c r="BT105" s="2"/>
      <c r="BU105" s="2"/>
      <c r="BV105" s="2"/>
      <c r="BW105" s="2"/>
      <c r="BX105" s="2">
        <f>BV105</f>
        <v>0</v>
      </c>
    </row>
    <row r="106" spans="71:76" x14ac:dyDescent="0.25">
      <c r="BS106" s="3"/>
      <c r="BT106" s="2"/>
      <c r="BU106" s="2"/>
      <c r="BV106" s="2"/>
      <c r="BW106" s="2"/>
      <c r="BX106" s="2">
        <f>BX105+BV106-BW106</f>
        <v>0</v>
      </c>
    </row>
    <row r="107" spans="71:76" x14ac:dyDescent="0.25">
      <c r="BS107" s="3"/>
      <c r="BT107" s="2"/>
      <c r="BU107" s="2"/>
      <c r="BV107" s="2"/>
      <c r="BW107" s="2"/>
      <c r="BX107" s="2">
        <f t="shared" ref="BX107:BX109" si="15">BX106+BV107-BW107</f>
        <v>0</v>
      </c>
    </row>
    <row r="108" spans="71:76" x14ac:dyDescent="0.25">
      <c r="BS108" s="3"/>
      <c r="BT108" s="2"/>
      <c r="BU108" s="2"/>
      <c r="BV108" s="2"/>
      <c r="BW108" s="2"/>
      <c r="BX108" s="2">
        <f t="shared" si="15"/>
        <v>0</v>
      </c>
    </row>
    <row r="109" spans="71:76" x14ac:dyDescent="0.25">
      <c r="BS109" s="3"/>
      <c r="BT109" s="2"/>
      <c r="BU109" s="2"/>
      <c r="BV109" s="2"/>
      <c r="BW109" s="2"/>
      <c r="BX109" s="2">
        <f t="shared" si="15"/>
        <v>0</v>
      </c>
    </row>
  </sheetData>
  <mergeCells count="29">
    <mergeCell ref="B3:D3"/>
    <mergeCell ref="H3:J3"/>
    <mergeCell ref="H15:J15"/>
    <mergeCell ref="H20:J20"/>
    <mergeCell ref="S2:AM2"/>
    <mergeCell ref="L3:Q3"/>
    <mergeCell ref="L4:Q4"/>
    <mergeCell ref="S4:X4"/>
    <mergeCell ref="Z4:AE4"/>
    <mergeCell ref="AO2:AT2"/>
    <mergeCell ref="AO13:AT13"/>
    <mergeCell ref="AV2:BV2"/>
    <mergeCell ref="AH4:AM4"/>
    <mergeCell ref="AO4:AT4"/>
    <mergeCell ref="AV4:BA4"/>
    <mergeCell ref="BC4:BH4"/>
    <mergeCell ref="BJ4:BO4"/>
    <mergeCell ref="BQ4:BV4"/>
    <mergeCell ref="BQ13:BV13"/>
    <mergeCell ref="AH13:AM13"/>
    <mergeCell ref="BS96:BX96"/>
    <mergeCell ref="B40:F40"/>
    <mergeCell ref="BS103:BX103"/>
    <mergeCell ref="AO22:AT22"/>
    <mergeCell ref="AH22:AM22"/>
    <mergeCell ref="BQ22:BV22"/>
    <mergeCell ref="BQ23:BV23"/>
    <mergeCell ref="BQ32:BV32"/>
    <mergeCell ref="BQ33:BV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1"/>
  <sheetViews>
    <sheetView zoomScaleNormal="100" workbookViewId="0">
      <selection activeCell="F35" sqref="F35"/>
    </sheetView>
  </sheetViews>
  <sheetFormatPr defaultColWidth="9.140625" defaultRowHeight="15" x14ac:dyDescent="0.25"/>
  <cols>
    <col min="1" max="1" width="9.140625" style="1"/>
    <col min="2" max="2" width="4.140625" style="1" bestFit="1" customWidth="1"/>
    <col min="3" max="3" width="22" style="1" bestFit="1" customWidth="1"/>
    <col min="4" max="4" width="5.85546875" style="1" bestFit="1" customWidth="1"/>
    <col min="5" max="5" width="6.42578125" style="1" bestFit="1" customWidth="1"/>
    <col min="6" max="16384" width="9.140625" style="1"/>
  </cols>
  <sheetData>
    <row r="1" spans="2:6" ht="15.75" thickBot="1" x14ac:dyDescent="0.3"/>
    <row r="2" spans="2:6" ht="15.75" thickBot="1" x14ac:dyDescent="0.3">
      <c r="B2" s="7" t="s">
        <v>0</v>
      </c>
      <c r="C2" s="8" t="s">
        <v>6</v>
      </c>
      <c r="D2" s="8" t="s">
        <v>18</v>
      </c>
      <c r="E2" s="8" t="s">
        <v>3</v>
      </c>
      <c r="F2" s="9" t="s">
        <v>7</v>
      </c>
    </row>
    <row r="3" spans="2:6" x14ac:dyDescent="0.25">
      <c r="B3" s="6">
        <v>1</v>
      </c>
      <c r="C3" s="6" t="s">
        <v>4</v>
      </c>
      <c r="D3" s="6">
        <v>5000</v>
      </c>
      <c r="E3" s="6"/>
      <c r="F3" s="6">
        <f>D3</f>
        <v>5000</v>
      </c>
    </row>
    <row r="4" spans="2:6" x14ac:dyDescent="0.25">
      <c r="B4" s="2">
        <v>2</v>
      </c>
      <c r="C4" s="2" t="s">
        <v>19</v>
      </c>
      <c r="D4" s="2"/>
      <c r="E4" s="2">
        <v>300</v>
      </c>
      <c r="F4" s="2">
        <f>F3+D4-E4</f>
        <v>4700</v>
      </c>
    </row>
    <row r="5" spans="2:6" x14ac:dyDescent="0.25">
      <c r="B5" s="2">
        <v>3</v>
      </c>
      <c r="C5" s="2" t="s">
        <v>20</v>
      </c>
      <c r="D5" s="2"/>
      <c r="E5" s="2">
        <v>200</v>
      </c>
      <c r="F5" s="2">
        <f t="shared" ref="F5:F10" si="0">F4+D5-E5</f>
        <v>4500</v>
      </c>
    </row>
    <row r="6" spans="2:6" x14ac:dyDescent="0.25">
      <c r="B6" s="2">
        <v>4</v>
      </c>
      <c r="C6" s="2" t="s">
        <v>21</v>
      </c>
      <c r="D6" s="2"/>
      <c r="E6" s="2">
        <v>50</v>
      </c>
      <c r="F6" s="2">
        <f t="shared" si="0"/>
        <v>4450</v>
      </c>
    </row>
    <row r="7" spans="2:6" x14ac:dyDescent="0.25">
      <c r="B7" s="2">
        <v>5</v>
      </c>
      <c r="C7" s="2" t="s">
        <v>23</v>
      </c>
      <c r="D7" s="2"/>
      <c r="E7" s="2">
        <v>100</v>
      </c>
      <c r="F7" s="2">
        <f t="shared" si="0"/>
        <v>4350</v>
      </c>
    </row>
    <row r="8" spans="2:6" x14ac:dyDescent="0.25">
      <c r="B8" s="2">
        <v>6</v>
      </c>
      <c r="C8" s="2" t="s">
        <v>76</v>
      </c>
      <c r="D8" s="2"/>
      <c r="E8" s="2">
        <v>250</v>
      </c>
      <c r="F8" s="2">
        <f t="shared" si="0"/>
        <v>4100</v>
      </c>
    </row>
    <row r="9" spans="2:6" x14ac:dyDescent="0.25">
      <c r="B9" s="2">
        <v>7</v>
      </c>
      <c r="C9" s="2" t="s">
        <v>78</v>
      </c>
      <c r="D9" s="2"/>
      <c r="E9" s="2">
        <v>100</v>
      </c>
      <c r="F9" s="2">
        <f t="shared" si="0"/>
        <v>4000</v>
      </c>
    </row>
    <row r="10" spans="2:6" x14ac:dyDescent="0.25">
      <c r="B10" s="2">
        <v>8</v>
      </c>
      <c r="C10" s="2" t="s">
        <v>79</v>
      </c>
      <c r="D10" s="2"/>
      <c r="E10" s="2">
        <v>200</v>
      </c>
      <c r="F10" s="2">
        <f t="shared" si="0"/>
        <v>3800</v>
      </c>
    </row>
    <row r="11" spans="2:6" ht="15.75" thickBot="1" x14ac:dyDescent="0.3">
      <c r="D11" s="1">
        <f>SUM(D3:D10)</f>
        <v>5000</v>
      </c>
      <c r="E11" s="1">
        <f>SUM(E3:E10)</f>
        <v>1200</v>
      </c>
      <c r="F11" s="1">
        <f>F10</f>
        <v>3800</v>
      </c>
    </row>
    <row r="12" spans="2:6" ht="15.75" thickBot="1" x14ac:dyDescent="0.3">
      <c r="B12" s="7" t="s">
        <v>0</v>
      </c>
      <c r="C12" s="8" t="s">
        <v>6</v>
      </c>
      <c r="D12" s="8" t="s">
        <v>18</v>
      </c>
      <c r="E12" s="8" t="s">
        <v>3</v>
      </c>
      <c r="F12" s="9" t="s">
        <v>7</v>
      </c>
    </row>
    <row r="13" spans="2:6" x14ac:dyDescent="0.25">
      <c r="B13" s="6">
        <v>1</v>
      </c>
      <c r="C13" s="6" t="s">
        <v>4</v>
      </c>
      <c r="D13" s="6">
        <f>F11</f>
        <v>3800</v>
      </c>
      <c r="E13" s="6"/>
      <c r="F13" s="6">
        <f>D13</f>
        <v>3800</v>
      </c>
    </row>
    <row r="14" spans="2:6" x14ac:dyDescent="0.25">
      <c r="B14" s="2">
        <v>2</v>
      </c>
      <c r="C14" s="2" t="s">
        <v>19</v>
      </c>
      <c r="D14" s="2"/>
      <c r="E14" s="2"/>
      <c r="F14" s="2">
        <f>F13+D14-E14</f>
        <v>3800</v>
      </c>
    </row>
    <row r="15" spans="2:6" x14ac:dyDescent="0.25">
      <c r="B15" s="2">
        <v>3</v>
      </c>
      <c r="C15" s="2" t="s">
        <v>20</v>
      </c>
      <c r="D15" s="2"/>
      <c r="E15" s="2"/>
      <c r="F15" s="2">
        <f t="shared" ref="F15:F20" si="1">F14+D15-E15</f>
        <v>3800</v>
      </c>
    </row>
    <row r="16" spans="2:6" x14ac:dyDescent="0.25">
      <c r="B16" s="2">
        <v>4</v>
      </c>
      <c r="C16" s="2" t="s">
        <v>21</v>
      </c>
      <c r="D16" s="2"/>
      <c r="E16" s="2"/>
      <c r="F16" s="2">
        <f t="shared" si="1"/>
        <v>3800</v>
      </c>
    </row>
    <row r="17" spans="2:6" x14ac:dyDescent="0.25">
      <c r="B17" s="2">
        <v>5</v>
      </c>
      <c r="C17" s="2" t="s">
        <v>23</v>
      </c>
      <c r="D17" s="2"/>
      <c r="E17" s="2">
        <v>100</v>
      </c>
      <c r="F17" s="2">
        <f t="shared" si="1"/>
        <v>3700</v>
      </c>
    </row>
    <row r="18" spans="2:6" x14ac:dyDescent="0.25">
      <c r="B18" s="2">
        <v>6</v>
      </c>
      <c r="C18" s="2" t="s">
        <v>22</v>
      </c>
      <c r="D18" s="2"/>
      <c r="E18" s="2">
        <v>300</v>
      </c>
      <c r="F18" s="2">
        <f t="shared" si="1"/>
        <v>3400</v>
      </c>
    </row>
    <row r="19" spans="2:6" x14ac:dyDescent="0.25">
      <c r="B19" s="2">
        <v>7</v>
      </c>
      <c r="C19" s="2" t="s">
        <v>78</v>
      </c>
      <c r="D19" s="2"/>
      <c r="E19" s="2">
        <v>100</v>
      </c>
      <c r="F19" s="2">
        <f t="shared" si="1"/>
        <v>3300</v>
      </c>
    </row>
    <row r="20" spans="2:6" x14ac:dyDescent="0.25">
      <c r="B20" s="2">
        <v>8</v>
      </c>
      <c r="C20" s="2" t="s">
        <v>24</v>
      </c>
      <c r="D20" s="2"/>
      <c r="E20" s="2">
        <v>200</v>
      </c>
      <c r="F20" s="2">
        <f t="shared" si="1"/>
        <v>3100</v>
      </c>
    </row>
    <row r="21" spans="2:6" ht="15.75" thickBot="1" x14ac:dyDescent="0.3">
      <c r="D21" s="1">
        <f>SUM(D13:D20)</f>
        <v>3800</v>
      </c>
      <c r="E21" s="1">
        <f>SUM(E13:E20)</f>
        <v>700</v>
      </c>
      <c r="F21" s="1">
        <f>F20</f>
        <v>3100</v>
      </c>
    </row>
    <row r="22" spans="2:6" ht="15.75" thickBot="1" x14ac:dyDescent="0.3">
      <c r="B22" s="7" t="s">
        <v>0</v>
      </c>
      <c r="C22" s="8" t="s">
        <v>6</v>
      </c>
      <c r="D22" s="8" t="s">
        <v>18</v>
      </c>
      <c r="E22" s="8" t="s">
        <v>3</v>
      </c>
      <c r="F22" s="9" t="s">
        <v>7</v>
      </c>
    </row>
    <row r="23" spans="2:6" x14ac:dyDescent="0.25">
      <c r="B23" s="6">
        <v>1</v>
      </c>
      <c r="C23" s="6" t="s">
        <v>4</v>
      </c>
      <c r="D23" s="6">
        <f>F21</f>
        <v>3100</v>
      </c>
      <c r="E23" s="6"/>
      <c r="F23" s="6">
        <f>D23</f>
        <v>3100</v>
      </c>
    </row>
    <row r="24" spans="2:6" x14ac:dyDescent="0.25">
      <c r="B24" s="2">
        <v>2</v>
      </c>
      <c r="C24" s="2" t="s">
        <v>19</v>
      </c>
      <c r="D24" s="2"/>
      <c r="E24" s="2"/>
      <c r="F24" s="2">
        <f>F23+D24-E24</f>
        <v>3100</v>
      </c>
    </row>
    <row r="25" spans="2:6" x14ac:dyDescent="0.25">
      <c r="B25" s="2">
        <v>3</v>
      </c>
      <c r="C25" s="2" t="s">
        <v>20</v>
      </c>
      <c r="D25" s="2"/>
      <c r="E25" s="2"/>
      <c r="F25" s="2">
        <f t="shared" ref="F25:F30" si="2">F24+D25-E25</f>
        <v>3100</v>
      </c>
    </row>
    <row r="26" spans="2:6" x14ac:dyDescent="0.25">
      <c r="B26" s="2">
        <v>4</v>
      </c>
      <c r="C26" s="2" t="s">
        <v>21</v>
      </c>
      <c r="D26" s="2"/>
      <c r="E26" s="2"/>
      <c r="F26" s="2">
        <f t="shared" si="2"/>
        <v>3100</v>
      </c>
    </row>
    <row r="27" spans="2:6" x14ac:dyDescent="0.25">
      <c r="B27" s="2">
        <v>5</v>
      </c>
      <c r="C27" s="2" t="s">
        <v>23</v>
      </c>
      <c r="D27" s="2"/>
      <c r="E27" s="2">
        <v>100</v>
      </c>
      <c r="F27" s="2">
        <f t="shared" si="2"/>
        <v>3000</v>
      </c>
    </row>
    <row r="28" spans="2:6" x14ac:dyDescent="0.25">
      <c r="B28" s="2">
        <v>6</v>
      </c>
      <c r="C28" s="2" t="s">
        <v>22</v>
      </c>
      <c r="D28" s="2"/>
      <c r="E28" s="2">
        <v>300</v>
      </c>
      <c r="F28" s="2">
        <f t="shared" si="2"/>
        <v>2700</v>
      </c>
    </row>
    <row r="29" spans="2:6" x14ac:dyDescent="0.25">
      <c r="B29" s="2">
        <v>7</v>
      </c>
      <c r="C29" s="2" t="s">
        <v>78</v>
      </c>
      <c r="D29" s="2"/>
      <c r="E29" s="2">
        <v>100</v>
      </c>
      <c r="F29" s="2">
        <f t="shared" si="2"/>
        <v>2600</v>
      </c>
    </row>
    <row r="30" spans="2:6" x14ac:dyDescent="0.25">
      <c r="B30" s="2">
        <v>8</v>
      </c>
      <c r="C30" s="2" t="s">
        <v>24</v>
      </c>
      <c r="D30" s="2"/>
      <c r="E30" s="2">
        <v>200</v>
      </c>
      <c r="F30" s="2">
        <f t="shared" si="2"/>
        <v>2400</v>
      </c>
    </row>
    <row r="31" spans="2:6" ht="15.75" thickBot="1" x14ac:dyDescent="0.3">
      <c r="D31" s="1">
        <f>SUM(D23:D30)</f>
        <v>3100</v>
      </c>
      <c r="E31" s="1">
        <f>SUM(E23:E30)</f>
        <v>700</v>
      </c>
      <c r="F31" s="1">
        <f>F30</f>
        <v>2400</v>
      </c>
    </row>
    <row r="32" spans="2:6" ht="15.75" thickBot="1" x14ac:dyDescent="0.3">
      <c r="B32" s="7" t="s">
        <v>0</v>
      </c>
      <c r="C32" s="8" t="s">
        <v>6</v>
      </c>
      <c r="D32" s="8" t="s">
        <v>18</v>
      </c>
      <c r="E32" s="8" t="s">
        <v>3</v>
      </c>
      <c r="F32" s="9" t="s">
        <v>7</v>
      </c>
    </row>
    <row r="33" spans="2:6" x14ac:dyDescent="0.25">
      <c r="B33" s="6">
        <v>1</v>
      </c>
      <c r="C33" s="6" t="s">
        <v>4</v>
      </c>
      <c r="D33" s="6">
        <f>F31</f>
        <v>2400</v>
      </c>
      <c r="E33" s="6"/>
      <c r="F33" s="6">
        <f>D33</f>
        <v>2400</v>
      </c>
    </row>
    <row r="34" spans="2:6" x14ac:dyDescent="0.25">
      <c r="B34" s="2">
        <v>2</v>
      </c>
      <c r="C34" s="2" t="s">
        <v>19</v>
      </c>
      <c r="D34" s="2"/>
      <c r="E34" s="2"/>
      <c r="F34" s="2">
        <f>F33+D34-E34</f>
        <v>2400</v>
      </c>
    </row>
    <row r="35" spans="2:6" x14ac:dyDescent="0.25">
      <c r="B35" s="2">
        <v>3</v>
      </c>
      <c r="C35" s="2" t="s">
        <v>20</v>
      </c>
      <c r="D35" s="2"/>
      <c r="E35" s="2"/>
      <c r="F35" s="2">
        <f t="shared" ref="F35:F40" si="3">F34+D35-E35</f>
        <v>2400</v>
      </c>
    </row>
    <row r="36" spans="2:6" x14ac:dyDescent="0.25">
      <c r="B36" s="2">
        <v>4</v>
      </c>
      <c r="C36" s="2" t="s">
        <v>21</v>
      </c>
      <c r="D36" s="2"/>
      <c r="E36" s="2"/>
      <c r="F36" s="2">
        <f t="shared" si="3"/>
        <v>2400</v>
      </c>
    </row>
    <row r="37" spans="2:6" x14ac:dyDescent="0.25">
      <c r="B37" s="2">
        <v>5</v>
      </c>
      <c r="C37" s="2" t="s">
        <v>23</v>
      </c>
      <c r="D37" s="2"/>
      <c r="E37" s="2">
        <v>100</v>
      </c>
      <c r="F37" s="2">
        <f t="shared" si="3"/>
        <v>2300</v>
      </c>
    </row>
    <row r="38" spans="2:6" x14ac:dyDescent="0.25">
      <c r="B38" s="2">
        <v>6</v>
      </c>
      <c r="C38" s="2" t="s">
        <v>22</v>
      </c>
      <c r="D38" s="2"/>
      <c r="E38" s="2">
        <v>300</v>
      </c>
      <c r="F38" s="2">
        <f t="shared" si="3"/>
        <v>2000</v>
      </c>
    </row>
    <row r="39" spans="2:6" x14ac:dyDescent="0.25">
      <c r="B39" s="2">
        <v>7</v>
      </c>
      <c r="C39" s="2" t="s">
        <v>78</v>
      </c>
      <c r="D39" s="2"/>
      <c r="E39" s="2">
        <v>100</v>
      </c>
      <c r="F39" s="2">
        <f t="shared" si="3"/>
        <v>1900</v>
      </c>
    </row>
    <row r="40" spans="2:6" x14ac:dyDescent="0.25">
      <c r="B40" s="2">
        <v>8</v>
      </c>
      <c r="C40" s="2" t="s">
        <v>24</v>
      </c>
      <c r="D40" s="2"/>
      <c r="E40" s="2">
        <v>200</v>
      </c>
      <c r="F40" s="2">
        <f t="shared" si="3"/>
        <v>1700</v>
      </c>
    </row>
    <row r="41" spans="2:6" ht="15.75" thickBot="1" x14ac:dyDescent="0.3">
      <c r="D41" s="1">
        <f>SUM(D33:D40)</f>
        <v>2400</v>
      </c>
      <c r="E41" s="1">
        <f>SUM(E33:E40)</f>
        <v>700</v>
      </c>
      <c r="F41" s="1">
        <f>F40</f>
        <v>1700</v>
      </c>
    </row>
    <row r="42" spans="2:6" ht="15.75" thickBot="1" x14ac:dyDescent="0.3">
      <c r="B42" s="7" t="s">
        <v>0</v>
      </c>
      <c r="C42" s="8" t="s">
        <v>6</v>
      </c>
      <c r="D42" s="8" t="s">
        <v>18</v>
      </c>
      <c r="E42" s="8" t="s">
        <v>3</v>
      </c>
      <c r="F42" s="9" t="s">
        <v>7</v>
      </c>
    </row>
    <row r="43" spans="2:6" x14ac:dyDescent="0.25">
      <c r="B43" s="6">
        <v>1</v>
      </c>
      <c r="C43" s="6" t="s">
        <v>4</v>
      </c>
      <c r="D43" s="6">
        <f>F41</f>
        <v>1700</v>
      </c>
      <c r="E43" s="6"/>
      <c r="F43" s="6">
        <f>D43</f>
        <v>1700</v>
      </c>
    </row>
    <row r="44" spans="2:6" x14ac:dyDescent="0.25">
      <c r="B44" s="2">
        <v>2</v>
      </c>
      <c r="C44" s="2" t="s">
        <v>19</v>
      </c>
      <c r="D44" s="2"/>
      <c r="E44" s="2"/>
      <c r="F44" s="2">
        <f>F43+D44-E44</f>
        <v>1700</v>
      </c>
    </row>
    <row r="45" spans="2:6" x14ac:dyDescent="0.25">
      <c r="B45" s="2">
        <v>3</v>
      </c>
      <c r="C45" s="2" t="s">
        <v>20</v>
      </c>
      <c r="D45" s="2"/>
      <c r="E45" s="2"/>
      <c r="F45" s="2">
        <f t="shared" ref="F45:F50" si="4">F44+D45-E45</f>
        <v>1700</v>
      </c>
    </row>
    <row r="46" spans="2:6" x14ac:dyDescent="0.25">
      <c r="B46" s="2">
        <v>4</v>
      </c>
      <c r="C46" s="2" t="s">
        <v>21</v>
      </c>
      <c r="D46" s="2"/>
      <c r="E46" s="2"/>
      <c r="F46" s="2">
        <f t="shared" si="4"/>
        <v>1700</v>
      </c>
    </row>
    <row r="47" spans="2:6" x14ac:dyDescent="0.25">
      <c r="B47" s="2">
        <v>5</v>
      </c>
      <c r="C47" s="2" t="s">
        <v>23</v>
      </c>
      <c r="D47" s="2"/>
      <c r="E47" s="2">
        <v>100</v>
      </c>
      <c r="F47" s="2">
        <f t="shared" si="4"/>
        <v>1600</v>
      </c>
    </row>
    <row r="48" spans="2:6" x14ac:dyDescent="0.25">
      <c r="B48" s="2">
        <v>6</v>
      </c>
      <c r="C48" s="2" t="s">
        <v>22</v>
      </c>
      <c r="D48" s="2"/>
      <c r="E48" s="2">
        <v>300</v>
      </c>
      <c r="F48" s="2">
        <f t="shared" si="4"/>
        <v>1300</v>
      </c>
    </row>
    <row r="49" spans="2:6" x14ac:dyDescent="0.25">
      <c r="B49" s="2">
        <v>7</v>
      </c>
      <c r="C49" s="2" t="s">
        <v>78</v>
      </c>
      <c r="D49" s="2"/>
      <c r="E49" s="2">
        <v>100</v>
      </c>
      <c r="F49" s="2">
        <f t="shared" si="4"/>
        <v>1200</v>
      </c>
    </row>
    <row r="50" spans="2:6" x14ac:dyDescent="0.25">
      <c r="B50" s="2">
        <v>8</v>
      </c>
      <c r="C50" s="2" t="s">
        <v>24</v>
      </c>
      <c r="D50" s="2"/>
      <c r="E50" s="2">
        <v>200</v>
      </c>
      <c r="F50" s="2">
        <f t="shared" si="4"/>
        <v>1000</v>
      </c>
    </row>
    <row r="51" spans="2:6" ht="15.75" thickBot="1" x14ac:dyDescent="0.3">
      <c r="D51" s="1">
        <f>SUM(D43:D50)</f>
        <v>1700</v>
      </c>
      <c r="E51" s="1">
        <f>SUM(E43:E50)</f>
        <v>700</v>
      </c>
      <c r="F51" s="1">
        <f>F50</f>
        <v>1000</v>
      </c>
    </row>
    <row r="52" spans="2:6" ht="15.75" thickBot="1" x14ac:dyDescent="0.3">
      <c r="B52" s="7" t="s">
        <v>0</v>
      </c>
      <c r="C52" s="8" t="s">
        <v>6</v>
      </c>
      <c r="D52" s="8" t="s">
        <v>18</v>
      </c>
      <c r="E52" s="8" t="s">
        <v>3</v>
      </c>
      <c r="F52" s="9" t="s">
        <v>7</v>
      </c>
    </row>
    <row r="53" spans="2:6" x14ac:dyDescent="0.25">
      <c r="B53" s="6">
        <v>1</v>
      </c>
      <c r="C53" s="6" t="s">
        <v>4</v>
      </c>
      <c r="D53" s="6">
        <f>F51</f>
        <v>1000</v>
      </c>
      <c r="E53" s="6"/>
      <c r="F53" s="6">
        <f>D53</f>
        <v>1000</v>
      </c>
    </row>
    <row r="54" spans="2:6" x14ac:dyDescent="0.25">
      <c r="B54" s="2">
        <v>2</v>
      </c>
      <c r="C54" s="2" t="s">
        <v>19</v>
      </c>
      <c r="D54" s="2"/>
      <c r="E54" s="2"/>
      <c r="F54" s="2">
        <f>F53+D54-E54</f>
        <v>1000</v>
      </c>
    </row>
    <row r="55" spans="2:6" x14ac:dyDescent="0.25">
      <c r="B55" s="2">
        <v>3</v>
      </c>
      <c r="C55" s="2" t="s">
        <v>20</v>
      </c>
      <c r="D55" s="2"/>
      <c r="E55" s="2"/>
      <c r="F55" s="2">
        <f t="shared" ref="F55:F60" si="5">F54+D55-E55</f>
        <v>1000</v>
      </c>
    </row>
    <row r="56" spans="2:6" x14ac:dyDescent="0.25">
      <c r="B56" s="2">
        <v>4</v>
      </c>
      <c r="C56" s="2" t="s">
        <v>21</v>
      </c>
      <c r="D56" s="2"/>
      <c r="E56" s="2"/>
      <c r="F56" s="2">
        <f t="shared" si="5"/>
        <v>1000</v>
      </c>
    </row>
    <row r="57" spans="2:6" x14ac:dyDescent="0.25">
      <c r="B57" s="2">
        <v>5</v>
      </c>
      <c r="C57" s="2" t="s">
        <v>23</v>
      </c>
      <c r="D57" s="2"/>
      <c r="E57" s="2">
        <v>100</v>
      </c>
      <c r="F57" s="2">
        <f t="shared" si="5"/>
        <v>900</v>
      </c>
    </row>
    <row r="58" spans="2:6" x14ac:dyDescent="0.25">
      <c r="B58" s="2">
        <v>6</v>
      </c>
      <c r="C58" s="2" t="s">
        <v>22</v>
      </c>
      <c r="D58" s="2"/>
      <c r="E58" s="2">
        <v>300</v>
      </c>
      <c r="F58" s="2">
        <f t="shared" si="5"/>
        <v>600</v>
      </c>
    </row>
    <row r="59" spans="2:6" x14ac:dyDescent="0.25">
      <c r="B59" s="2">
        <v>7</v>
      </c>
      <c r="C59" s="2" t="s">
        <v>78</v>
      </c>
      <c r="D59" s="2"/>
      <c r="E59" s="2">
        <v>100</v>
      </c>
      <c r="F59" s="2">
        <f t="shared" si="5"/>
        <v>500</v>
      </c>
    </row>
    <row r="60" spans="2:6" x14ac:dyDescent="0.25">
      <c r="B60" s="2">
        <v>8</v>
      </c>
      <c r="C60" s="2" t="s">
        <v>24</v>
      </c>
      <c r="D60" s="2"/>
      <c r="E60" s="2">
        <v>200</v>
      </c>
      <c r="F60" s="2">
        <f t="shared" si="5"/>
        <v>300</v>
      </c>
    </row>
    <row r="61" spans="2:6" x14ac:dyDescent="0.25">
      <c r="D61" s="1">
        <f>SUM(D53:D60)</f>
        <v>1000</v>
      </c>
      <c r="E61" s="1">
        <f>SUM(E53:E60)</f>
        <v>700</v>
      </c>
      <c r="F61" s="1">
        <f>F60</f>
        <v>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8"/>
  <sheetViews>
    <sheetView tabSelected="1" topLeftCell="X1" workbookViewId="0">
      <selection activeCell="AH28" sqref="AH28"/>
    </sheetView>
  </sheetViews>
  <sheetFormatPr defaultColWidth="8.7109375" defaultRowHeight="15" x14ac:dyDescent="0.25"/>
  <cols>
    <col min="1" max="1" width="5.5703125" style="1" bestFit="1" customWidth="1"/>
    <col min="2" max="2" width="7.140625" style="1" bestFit="1" customWidth="1"/>
    <col min="3" max="3" width="38.5703125" style="1" bestFit="1" customWidth="1"/>
    <col min="4" max="4" width="7.7109375" style="1" bestFit="1" customWidth="1"/>
    <col min="5" max="5" width="12.5703125" style="1" bestFit="1" customWidth="1"/>
    <col min="6" max="6" width="13.7109375" style="1" bestFit="1" customWidth="1"/>
    <col min="7" max="7" width="5" style="1" customWidth="1"/>
    <col min="8" max="10" width="13.7109375" style="1" customWidth="1"/>
    <col min="11" max="11" width="17.42578125" style="1" bestFit="1" customWidth="1"/>
    <col min="12" max="12" width="4.42578125" style="1" customWidth="1"/>
    <col min="13" max="14" width="8.7109375" style="1"/>
    <col min="15" max="15" width="22.140625" style="1" bestFit="1" customWidth="1"/>
    <col min="16" max="16" width="6.85546875" style="1" bestFit="1" customWidth="1"/>
    <col min="17" max="17" width="12.140625" style="1" bestFit="1" customWidth="1"/>
    <col min="18" max="22" width="8.7109375" style="1"/>
    <col min="23" max="23" width="11.28515625" style="1" bestFit="1" customWidth="1"/>
    <col min="24" max="24" width="4.7109375" style="1" customWidth="1"/>
    <col min="25" max="25" width="4.42578125" style="1" customWidth="1"/>
    <col min="26" max="26" width="8.7109375" style="1"/>
    <col min="27" max="27" width="22.140625" style="1" bestFit="1" customWidth="1"/>
    <col min="28" max="28" width="6.85546875" style="1" bestFit="1" customWidth="1"/>
    <col min="29" max="29" width="12.28515625" style="1" customWidth="1"/>
    <col min="30" max="36" width="8.7109375" style="1"/>
    <col min="37" max="37" width="13.85546875" style="1" bestFit="1" customWidth="1"/>
    <col min="38" max="16384" width="8.7109375" style="1"/>
  </cols>
  <sheetData>
    <row r="2" spans="2:37" ht="15.75" thickBot="1" x14ac:dyDescent="0.3"/>
    <row r="3" spans="2:37" ht="19.5" thickBot="1" x14ac:dyDescent="0.35">
      <c r="B3" s="122" t="s">
        <v>106</v>
      </c>
      <c r="C3" s="123"/>
      <c r="D3" s="123"/>
      <c r="E3" s="124" t="s">
        <v>107</v>
      </c>
      <c r="F3" s="126">
        <v>1</v>
      </c>
      <c r="G3" s="128"/>
      <c r="H3" s="130" t="s">
        <v>112</v>
      </c>
      <c r="I3" s="130"/>
      <c r="J3" s="130"/>
      <c r="K3" s="130"/>
      <c r="M3" s="117" t="s">
        <v>103</v>
      </c>
      <c r="N3" s="118"/>
      <c r="O3" s="118"/>
      <c r="P3" s="118"/>
      <c r="Q3" s="118"/>
      <c r="R3" s="118"/>
      <c r="S3" s="118"/>
      <c r="T3" s="118"/>
      <c r="U3" s="118"/>
      <c r="V3" s="118"/>
      <c r="W3" s="119"/>
      <c r="Y3" s="117" t="s">
        <v>105</v>
      </c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9"/>
    </row>
    <row r="4" spans="2:37" ht="21" x14ac:dyDescent="0.35">
      <c r="B4" s="125" t="s">
        <v>1</v>
      </c>
      <c r="C4" s="125" t="s">
        <v>109</v>
      </c>
      <c r="D4" s="125" t="s">
        <v>108</v>
      </c>
      <c r="E4" s="125" t="s">
        <v>2</v>
      </c>
      <c r="F4" s="125" t="s">
        <v>3</v>
      </c>
      <c r="G4" s="127"/>
      <c r="H4" s="131" t="s">
        <v>111</v>
      </c>
      <c r="I4" s="131"/>
      <c r="J4" s="131"/>
      <c r="K4" s="131"/>
      <c r="M4" s="82" t="s">
        <v>0</v>
      </c>
      <c r="N4" s="82" t="s">
        <v>1</v>
      </c>
      <c r="O4" s="82" t="s">
        <v>87</v>
      </c>
      <c r="P4" s="82" t="s">
        <v>86</v>
      </c>
      <c r="Q4" s="82" t="s">
        <v>6</v>
      </c>
      <c r="R4" s="82" t="s">
        <v>101</v>
      </c>
      <c r="S4" s="82" t="s">
        <v>88</v>
      </c>
      <c r="T4" s="82" t="s">
        <v>89</v>
      </c>
      <c r="U4" s="82" t="s">
        <v>102</v>
      </c>
      <c r="V4" s="82" t="s">
        <v>90</v>
      </c>
      <c r="W4" s="82" t="s">
        <v>91</v>
      </c>
      <c r="Y4" s="82" t="s">
        <v>0</v>
      </c>
      <c r="Z4" s="82" t="s">
        <v>1</v>
      </c>
      <c r="AA4" s="82" t="s">
        <v>87</v>
      </c>
      <c r="AB4" s="82" t="s">
        <v>86</v>
      </c>
      <c r="AC4" s="82" t="s">
        <v>6</v>
      </c>
      <c r="AD4" s="82" t="s">
        <v>101</v>
      </c>
      <c r="AE4" s="82" t="s">
        <v>88</v>
      </c>
      <c r="AF4" s="82" t="s">
        <v>89</v>
      </c>
      <c r="AG4" s="82" t="s">
        <v>95</v>
      </c>
      <c r="AH4" s="82" t="s">
        <v>90</v>
      </c>
      <c r="AI4" s="82" t="s">
        <v>9</v>
      </c>
      <c r="AJ4" s="82" t="s">
        <v>94</v>
      </c>
      <c r="AK4" s="82" t="s">
        <v>91</v>
      </c>
    </row>
    <row r="5" spans="2:37" ht="18.75" x14ac:dyDescent="0.3">
      <c r="C5" s="1" t="s">
        <v>4</v>
      </c>
      <c r="E5" s="129">
        <v>50000</v>
      </c>
      <c r="H5" s="131">
        <v>2026</v>
      </c>
      <c r="I5" s="131"/>
      <c r="J5" s="131"/>
      <c r="K5" s="131"/>
      <c r="M5" s="2">
        <v>1</v>
      </c>
      <c r="N5" s="3">
        <v>46023</v>
      </c>
      <c r="O5" s="2" t="s">
        <v>92</v>
      </c>
      <c r="P5" s="2"/>
      <c r="Q5" s="2" t="s">
        <v>93</v>
      </c>
      <c r="R5" s="83">
        <v>5</v>
      </c>
      <c r="S5" s="2">
        <v>10</v>
      </c>
      <c r="T5" s="2">
        <v>100</v>
      </c>
      <c r="U5" s="2">
        <v>100</v>
      </c>
      <c r="V5" s="89">
        <v>100</v>
      </c>
      <c r="W5" s="87">
        <f>V5*U5</f>
        <v>10000</v>
      </c>
      <c r="Y5" s="2">
        <v>1</v>
      </c>
      <c r="Z5" s="3">
        <v>46023</v>
      </c>
      <c r="AA5" s="2" t="s">
        <v>92</v>
      </c>
      <c r="AB5" s="2"/>
      <c r="AC5" s="2" t="s">
        <v>93</v>
      </c>
      <c r="AD5" s="83">
        <v>5</v>
      </c>
      <c r="AE5" s="2">
        <v>10</v>
      </c>
      <c r="AF5" s="2">
        <v>100</v>
      </c>
      <c r="AG5" s="2">
        <v>100</v>
      </c>
      <c r="AH5" s="89">
        <v>100</v>
      </c>
      <c r="AI5" s="89">
        <f>AG5*AH5</f>
        <v>10000</v>
      </c>
      <c r="AJ5" s="2"/>
      <c r="AK5" s="87">
        <f>AI5</f>
        <v>10000</v>
      </c>
    </row>
    <row r="6" spans="2:37" x14ac:dyDescent="0.25">
      <c r="C6" s="1" t="s">
        <v>110</v>
      </c>
      <c r="F6" s="129">
        <v>50000</v>
      </c>
      <c r="H6" s="84"/>
      <c r="I6" s="132" t="s">
        <v>5</v>
      </c>
      <c r="J6" s="132"/>
      <c r="K6" s="84"/>
      <c r="M6" s="2">
        <v>2</v>
      </c>
      <c r="N6" s="3">
        <v>46024</v>
      </c>
      <c r="O6" s="2" t="s">
        <v>96</v>
      </c>
      <c r="P6" s="2"/>
      <c r="Q6" s="2" t="s">
        <v>97</v>
      </c>
      <c r="R6" s="84">
        <v>4</v>
      </c>
      <c r="S6" s="2">
        <v>10</v>
      </c>
      <c r="T6" s="2">
        <v>100</v>
      </c>
      <c r="U6" s="2">
        <v>100</v>
      </c>
      <c r="V6" s="89">
        <v>200</v>
      </c>
      <c r="W6" s="87">
        <f t="shared" ref="W6:W8" si="0">V6*U6</f>
        <v>20000</v>
      </c>
      <c r="Y6" s="2">
        <v>2</v>
      </c>
      <c r="Z6" s="3">
        <v>46024</v>
      </c>
      <c r="AA6" s="2" t="s">
        <v>96</v>
      </c>
      <c r="AB6" s="2"/>
      <c r="AC6" s="2" t="s">
        <v>97</v>
      </c>
      <c r="AD6" s="84">
        <v>4</v>
      </c>
      <c r="AE6" s="2">
        <v>10</v>
      </c>
      <c r="AF6" s="2">
        <v>100</v>
      </c>
      <c r="AG6" s="2">
        <v>100</v>
      </c>
      <c r="AH6" s="89">
        <v>200</v>
      </c>
      <c r="AI6" s="89">
        <f t="shared" ref="AI6:AI8" si="1">AG6*AH6</f>
        <v>20000</v>
      </c>
      <c r="AJ6" s="2"/>
      <c r="AK6" s="87">
        <f>AK5+AI6-AJ6</f>
        <v>30000</v>
      </c>
    </row>
    <row r="7" spans="2:37" x14ac:dyDescent="0.25">
      <c r="H7" s="1" t="s">
        <v>4</v>
      </c>
      <c r="K7" s="133">
        <f>E5</f>
        <v>50000</v>
      </c>
      <c r="M7" s="2">
        <v>3</v>
      </c>
      <c r="N7" s="3">
        <v>46025</v>
      </c>
      <c r="O7" s="2" t="s">
        <v>98</v>
      </c>
      <c r="P7" s="2"/>
      <c r="Q7" s="2" t="s">
        <v>97</v>
      </c>
      <c r="R7" s="83">
        <v>7</v>
      </c>
      <c r="S7" s="2">
        <v>10</v>
      </c>
      <c r="T7" s="2">
        <v>100</v>
      </c>
      <c r="U7" s="2">
        <v>100</v>
      </c>
      <c r="V7" s="89">
        <v>250</v>
      </c>
      <c r="W7" s="87">
        <f t="shared" si="0"/>
        <v>25000</v>
      </c>
      <c r="Y7" s="2">
        <v>3</v>
      </c>
      <c r="Z7" s="3">
        <v>46025</v>
      </c>
      <c r="AA7" s="2" t="s">
        <v>119</v>
      </c>
      <c r="AB7" s="2"/>
      <c r="AC7" s="2" t="s">
        <v>97</v>
      </c>
      <c r="AD7" s="83">
        <v>7</v>
      </c>
      <c r="AE7" s="2">
        <v>10</v>
      </c>
      <c r="AF7" s="2">
        <v>100</v>
      </c>
      <c r="AG7" s="2">
        <v>100</v>
      </c>
      <c r="AH7" s="89">
        <v>250</v>
      </c>
      <c r="AI7" s="89">
        <f t="shared" si="1"/>
        <v>25000</v>
      </c>
      <c r="AJ7" s="2"/>
      <c r="AK7" s="87">
        <f t="shared" ref="AK7:AK8" si="2">AK6+AI7-AJ7</f>
        <v>55000</v>
      </c>
    </row>
    <row r="8" spans="2:37" x14ac:dyDescent="0.25">
      <c r="M8" s="2">
        <v>4</v>
      </c>
      <c r="N8" s="3">
        <v>46026</v>
      </c>
      <c r="O8" s="2" t="s">
        <v>99</v>
      </c>
      <c r="P8" s="2"/>
      <c r="Q8" s="2" t="s">
        <v>100</v>
      </c>
      <c r="R8" s="83">
        <v>1</v>
      </c>
      <c r="S8" s="2">
        <v>10</v>
      </c>
      <c r="T8" s="2">
        <v>100</v>
      </c>
      <c r="U8" s="2">
        <v>100</v>
      </c>
      <c r="V8" s="89">
        <v>50</v>
      </c>
      <c r="W8" s="87">
        <f t="shared" si="0"/>
        <v>5000</v>
      </c>
      <c r="Y8" s="2">
        <v>4</v>
      </c>
      <c r="Z8" s="3">
        <v>46026</v>
      </c>
      <c r="AA8" s="2" t="s">
        <v>99</v>
      </c>
      <c r="AB8" s="2"/>
      <c r="AC8" s="2" t="s">
        <v>100</v>
      </c>
      <c r="AD8" s="83">
        <v>1</v>
      </c>
      <c r="AE8" s="2">
        <v>10</v>
      </c>
      <c r="AF8" s="2">
        <v>100</v>
      </c>
      <c r="AG8" s="2">
        <v>100</v>
      </c>
      <c r="AH8" s="89">
        <v>50</v>
      </c>
      <c r="AI8" s="89">
        <f t="shared" si="1"/>
        <v>5000</v>
      </c>
      <c r="AJ8" s="2"/>
      <c r="AK8" s="87">
        <f t="shared" si="2"/>
        <v>60000</v>
      </c>
    </row>
    <row r="9" spans="2:37" ht="18.75" x14ac:dyDescent="0.3">
      <c r="H9" s="1" t="s">
        <v>118</v>
      </c>
      <c r="K9" s="134">
        <f>K7</f>
        <v>50000</v>
      </c>
      <c r="M9" s="120" t="s">
        <v>104</v>
      </c>
      <c r="N9" s="121"/>
      <c r="O9" s="121"/>
      <c r="P9" s="121"/>
      <c r="Q9" s="121"/>
      <c r="R9" s="121"/>
      <c r="S9" s="121"/>
      <c r="T9" s="121"/>
      <c r="U9" s="88">
        <f t="shared" ref="U9" si="3">SUM(U5:U8)</f>
        <v>400</v>
      </c>
      <c r="V9" s="85"/>
      <c r="W9" s="86">
        <f>SUM(W5:W8)</f>
        <v>60000</v>
      </c>
      <c r="Y9" s="90" t="s">
        <v>104</v>
      </c>
      <c r="Z9" s="91"/>
      <c r="AA9" s="91"/>
      <c r="AB9" s="91"/>
      <c r="AC9" s="91"/>
      <c r="AD9" s="91"/>
      <c r="AE9" s="91"/>
      <c r="AF9" s="91"/>
      <c r="AG9" s="92">
        <f>SUM(AG5:AG8)</f>
        <v>400</v>
      </c>
      <c r="AH9" s="91"/>
      <c r="AI9" s="94"/>
      <c r="AJ9" s="91"/>
      <c r="AK9" s="93">
        <f>AK8</f>
        <v>60000</v>
      </c>
    </row>
    <row r="10" spans="2:37" x14ac:dyDescent="0.25">
      <c r="H10" s="132"/>
      <c r="I10" s="132" t="s">
        <v>113</v>
      </c>
      <c r="J10" s="132"/>
      <c r="K10" s="132"/>
    </row>
    <row r="11" spans="2:37" x14ac:dyDescent="0.25">
      <c r="H11" s="1" t="s">
        <v>12</v>
      </c>
    </row>
    <row r="13" spans="2:37" x14ac:dyDescent="0.25">
      <c r="H13" s="1" t="s">
        <v>114</v>
      </c>
    </row>
    <row r="15" spans="2:37" x14ac:dyDescent="0.25">
      <c r="H15" s="1" t="s">
        <v>115</v>
      </c>
    </row>
    <row r="16" spans="2:37" x14ac:dyDescent="0.25">
      <c r="H16" s="1" t="s">
        <v>110</v>
      </c>
      <c r="K16" s="133">
        <f>F6</f>
        <v>50000</v>
      </c>
    </row>
    <row r="17" spans="8:11" x14ac:dyDescent="0.25">
      <c r="H17" s="1" t="s">
        <v>116</v>
      </c>
      <c r="K17" s="133">
        <f>K16</f>
        <v>50000</v>
      </c>
    </row>
    <row r="18" spans="8:11" x14ac:dyDescent="0.25">
      <c r="H18" s="1" t="s">
        <v>117</v>
      </c>
      <c r="K18" s="134">
        <f>K17</f>
        <v>50000</v>
      </c>
    </row>
  </sheetData>
  <mergeCells count="7">
    <mergeCell ref="Y3:AK3"/>
    <mergeCell ref="M3:W3"/>
    <mergeCell ref="M9:T9"/>
    <mergeCell ref="B3:D3"/>
    <mergeCell ref="H3:K3"/>
    <mergeCell ref="H4:K4"/>
    <mergeCell ref="H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Sheet2</vt:lpstr>
      <vt:lpstr>Invontory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2026-02-12T08:41:38Z</dcterms:modified>
</cp:coreProperties>
</file>
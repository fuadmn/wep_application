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61" firstSheet="2" activeTab="5"/>
  </bookViews>
  <sheets>
    <sheet name="Accounting in Action 1" sheetId="1" r:id="rId1"/>
    <sheet name="f" sheetId="2" r:id="rId2"/>
    <sheet name="The Recording Process 2" sheetId="5" r:id="rId3"/>
    <sheet name="Adjusting the Accounts 3" sheetId="6" r:id="rId4"/>
    <sheet name="3" sheetId="3" r:id="rId5"/>
    <sheet name="4" sheetId="8" r:id="rId6"/>
    <sheet name="Completing the Accounting Cycle" sheetId="4" r:id="rId7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E30" i="8" l="1"/>
  <c r="DE22" i="8"/>
  <c r="DE51" i="8"/>
  <c r="DE58" i="8"/>
  <c r="CX17" i="8"/>
  <c r="CW16" i="8"/>
  <c r="CY16" i="8" s="1"/>
  <c r="CY17" i="8" s="1"/>
  <c r="CY18" i="8" s="1"/>
  <c r="CY19" i="8" s="1"/>
  <c r="CY20" i="8" s="1"/>
  <c r="CX20" i="8"/>
  <c r="CY8" i="8"/>
  <c r="CY9" i="8" s="1"/>
  <c r="CY10" i="8" s="1"/>
  <c r="CY11" i="8" s="1"/>
  <c r="CW10" i="8"/>
  <c r="R28" i="8"/>
  <c r="Q28" i="8"/>
  <c r="DE52" i="8"/>
  <c r="DD52" i="8"/>
  <c r="DF50" i="8"/>
  <c r="DF51" i="8" s="1"/>
  <c r="DF52" i="8" s="1"/>
  <c r="V28" i="8" s="1"/>
  <c r="AE16" i="8" s="1"/>
  <c r="DE45" i="8"/>
  <c r="DD45" i="8"/>
  <c r="DF43" i="8"/>
  <c r="DF44" i="8" s="1"/>
  <c r="DF45" i="8" s="1"/>
  <c r="X18" i="8" s="1"/>
  <c r="AF48" i="8" s="1"/>
  <c r="F41" i="8"/>
  <c r="E41" i="8"/>
  <c r="AF38" i="8"/>
  <c r="DE38" i="8"/>
  <c r="DD38" i="8"/>
  <c r="DF36" i="8"/>
  <c r="DF37" i="8" s="1"/>
  <c r="DF38" i="8" s="1"/>
  <c r="V27" i="8" s="1"/>
  <c r="AE15" i="8" s="1"/>
  <c r="L35" i="8"/>
  <c r="K35" i="8"/>
  <c r="DE31" i="8"/>
  <c r="DD31" i="8"/>
  <c r="DF28" i="8"/>
  <c r="DF29" i="8" s="1"/>
  <c r="DF30" i="8" s="1"/>
  <c r="DF31" i="8" s="1"/>
  <c r="V23" i="8" s="1"/>
  <c r="AE11" i="8" s="1"/>
  <c r="DE23" i="8"/>
  <c r="DD23" i="8"/>
  <c r="BV23" i="8"/>
  <c r="BU23" i="8"/>
  <c r="AT23" i="8"/>
  <c r="AS23" i="8"/>
  <c r="DF21" i="8"/>
  <c r="DF22" i="8" s="1"/>
  <c r="DF23" i="8" s="1"/>
  <c r="V26" i="8" s="1"/>
  <c r="AE14" i="8" s="1"/>
  <c r="BW21" i="8"/>
  <c r="BW22" i="8" s="1"/>
  <c r="BW23" i="8" s="1"/>
  <c r="AU21" i="8"/>
  <c r="AU22" i="8" s="1"/>
  <c r="AU23" i="8" s="1"/>
  <c r="X14" i="8" s="1"/>
  <c r="DE16" i="8"/>
  <c r="DD16" i="8"/>
  <c r="BV16" i="8"/>
  <c r="BU16" i="8"/>
  <c r="BA16" i="8"/>
  <c r="AZ16" i="8"/>
  <c r="DE59" i="8"/>
  <c r="DD59" i="8"/>
  <c r="BW15" i="8"/>
  <c r="BW16" i="8" s="1"/>
  <c r="X17" i="8" s="1"/>
  <c r="AF50" i="8" s="1"/>
  <c r="DF14" i="8"/>
  <c r="DF15" i="8" s="1"/>
  <c r="DF16" i="8" s="1"/>
  <c r="V25" i="8" s="1"/>
  <c r="AE13" i="8" s="1"/>
  <c r="DD14" i="8"/>
  <c r="BW14" i="8"/>
  <c r="BB14" i="8"/>
  <c r="BB15" i="8" s="1"/>
  <c r="BB16" i="8" s="1"/>
  <c r="V10" i="8" s="1"/>
  <c r="AF39" i="8" s="1"/>
  <c r="DF57" i="8"/>
  <c r="DF58" i="8" s="1"/>
  <c r="DF59" i="8" s="1"/>
  <c r="V24" i="8" s="1"/>
  <c r="AE12" i="8" s="1"/>
  <c r="AL13" i="8"/>
  <c r="AK13" i="8"/>
  <c r="AM12" i="8"/>
  <c r="AK12" i="8"/>
  <c r="AM11" i="8"/>
  <c r="AK11" i="8"/>
  <c r="CW11" i="8"/>
  <c r="AM10" i="8"/>
  <c r="AK10" i="8"/>
  <c r="DE9" i="8"/>
  <c r="CQ9" i="8"/>
  <c r="CI9" i="8"/>
  <c r="CB9" i="8"/>
  <c r="BV9" i="8"/>
  <c r="BU9" i="8"/>
  <c r="BN9" i="8"/>
  <c r="BH9" i="8"/>
  <c r="BG9" i="8"/>
  <c r="BA9" i="8"/>
  <c r="AT9" i="8"/>
  <c r="AS9" i="8"/>
  <c r="AM9" i="8"/>
  <c r="AM14" i="8" s="1"/>
  <c r="AK9" i="8"/>
  <c r="BW8" i="8"/>
  <c r="BW9" i="8" s="1"/>
  <c r="X16" i="8" s="1"/>
  <c r="AF47" i="8" s="1"/>
  <c r="AU8" i="8"/>
  <c r="AU9" i="8" s="1"/>
  <c r="V11" i="8" s="1"/>
  <c r="AF40" i="8" s="1"/>
  <c r="AL8" i="8"/>
  <c r="AK8" i="8"/>
  <c r="DD7" i="8"/>
  <c r="DD9" i="8" s="1"/>
  <c r="CY7" i="8"/>
  <c r="CX7" i="8"/>
  <c r="CX11" i="8" s="1"/>
  <c r="CP7" i="8"/>
  <c r="CP9" i="8" s="1"/>
  <c r="CK7" i="8"/>
  <c r="CK8" i="8" s="1"/>
  <c r="CK9" i="8" s="1"/>
  <c r="CJ7" i="8"/>
  <c r="CJ9" i="8" s="1"/>
  <c r="CC7" i="8"/>
  <c r="CC9" i="8" s="1"/>
  <c r="BW7" i="8"/>
  <c r="BV7" i="8"/>
  <c r="BO7" i="8"/>
  <c r="BO9" i="8" s="1"/>
  <c r="BI7" i="8"/>
  <c r="BI8" i="8" s="1"/>
  <c r="BI9" i="8" s="1"/>
  <c r="V13" i="8" s="1"/>
  <c r="AF42" i="8" s="1"/>
  <c r="BG7" i="8"/>
  <c r="AZ7" i="8"/>
  <c r="BB7" i="8" s="1"/>
  <c r="BB8" i="8" s="1"/>
  <c r="BB9" i="8" s="1"/>
  <c r="V12" i="8" s="1"/>
  <c r="AF41" i="8" s="1"/>
  <c r="AU7" i="8"/>
  <c r="AS7" i="8"/>
  <c r="AL7" i="8"/>
  <c r="AL14" i="8" s="1"/>
  <c r="AK7" i="8"/>
  <c r="AF17" i="8" l="1"/>
  <c r="AF43" i="8"/>
  <c r="X22" i="8"/>
  <c r="AF9" i="8" s="1"/>
  <c r="X20" i="8"/>
  <c r="AN7" i="8"/>
  <c r="AN8" i="8" s="1"/>
  <c r="AN9" i="8" s="1"/>
  <c r="AN10" i="8" s="1"/>
  <c r="AN11" i="8" s="1"/>
  <c r="AN12" i="8" s="1"/>
  <c r="AN13" i="8" s="1"/>
  <c r="AN14" i="8" s="1"/>
  <c r="V9" i="8" s="1"/>
  <c r="V29" i="8" s="1"/>
  <c r="BP7" i="8"/>
  <c r="BP8" i="8" s="1"/>
  <c r="BP9" i="8" s="1"/>
  <c r="X15" i="8" s="1"/>
  <c r="AF46" i="8" s="1"/>
  <c r="CR7" i="8"/>
  <c r="CR8" i="8" s="1"/>
  <c r="CR9" i="8" s="1"/>
  <c r="V21" i="8" s="1"/>
  <c r="AF30" i="8" s="1"/>
  <c r="AZ9" i="8"/>
  <c r="CW20" i="8"/>
  <c r="CD7" i="8"/>
  <c r="CD8" i="8" s="1"/>
  <c r="CD9" i="8" s="1"/>
  <c r="DF7" i="8"/>
  <c r="DF8" i="8" s="1"/>
  <c r="DF9" i="8" s="1"/>
  <c r="AK53" i="4"/>
  <c r="AK50" i="4"/>
  <c r="AK42" i="4"/>
  <c r="AS35" i="4"/>
  <c r="X32" i="4"/>
  <c r="V32" i="4"/>
  <c r="T32" i="4"/>
  <c r="R32" i="4"/>
  <c r="X31" i="4"/>
  <c r="R31" i="4"/>
  <c r="AS29" i="4"/>
  <c r="X29" i="4"/>
  <c r="V29" i="4"/>
  <c r="T29" i="4"/>
  <c r="R29" i="4"/>
  <c r="P29" i="4"/>
  <c r="N29" i="4"/>
  <c r="L29" i="4"/>
  <c r="I29" i="4"/>
  <c r="AK27" i="4"/>
  <c r="AK26" i="4"/>
  <c r="AD26" i="4"/>
  <c r="AC26" i="4"/>
  <c r="AS23" i="4"/>
  <c r="BA20" i="4"/>
  <c r="AZ20" i="4"/>
  <c r="AX20" i="4"/>
  <c r="BA19" i="4"/>
  <c r="F19" i="4"/>
  <c r="D19" i="4"/>
  <c r="BA18" i="4"/>
  <c r="AS17" i="4"/>
  <c r="AK17" i="4"/>
  <c r="AK16" i="4"/>
  <c r="BA13" i="4"/>
  <c r="AZ13" i="4"/>
  <c r="AX13" i="4"/>
  <c r="BA12" i="4"/>
  <c r="BA11" i="4"/>
  <c r="AS11" i="4"/>
  <c r="AS6" i="4"/>
  <c r="AS5" i="4"/>
  <c r="M72" i="3"/>
  <c r="M67" i="3"/>
  <c r="M66" i="3"/>
  <c r="T61" i="3"/>
  <c r="M60" i="3"/>
  <c r="T55" i="3"/>
  <c r="M54" i="3"/>
  <c r="AG53" i="3"/>
  <c r="T50" i="3"/>
  <c r="T49" i="3"/>
  <c r="M48" i="3"/>
  <c r="AG44" i="3"/>
  <c r="T43" i="3"/>
  <c r="M42" i="3"/>
  <c r="M36" i="3"/>
  <c r="F34" i="3"/>
  <c r="E34" i="3"/>
  <c r="T31" i="3"/>
  <c r="M31" i="3"/>
  <c r="M30" i="3"/>
  <c r="Z29" i="3"/>
  <c r="X29" i="3"/>
  <c r="T26" i="3"/>
  <c r="T25" i="3"/>
  <c r="M25" i="3"/>
  <c r="T24" i="3"/>
  <c r="M24" i="3"/>
  <c r="AG18" i="3"/>
  <c r="T18" i="3"/>
  <c r="M18" i="3"/>
  <c r="AG17" i="3"/>
  <c r="T12" i="3"/>
  <c r="M12" i="3"/>
  <c r="M11" i="3"/>
  <c r="M10" i="3"/>
  <c r="M9" i="3"/>
  <c r="M8" i="3"/>
  <c r="M7" i="3"/>
  <c r="T6" i="3"/>
  <c r="M6" i="3"/>
  <c r="CY51" i="6"/>
  <c r="CX51" i="6"/>
  <c r="CZ49" i="6"/>
  <c r="CZ50" i="6" s="1"/>
  <c r="CZ51" i="6" s="1"/>
  <c r="P28" i="6" s="1"/>
  <c r="Y16" i="6" s="1"/>
  <c r="CY44" i="6"/>
  <c r="CX44" i="6"/>
  <c r="CZ43" i="6"/>
  <c r="CZ44" i="6" s="1"/>
  <c r="R18" i="6" s="1"/>
  <c r="Z48" i="6" s="1"/>
  <c r="CZ42" i="6"/>
  <c r="F41" i="6"/>
  <c r="E41" i="6"/>
  <c r="Z38" i="6"/>
  <c r="CY37" i="6"/>
  <c r="CX37" i="6"/>
  <c r="CZ35" i="6"/>
  <c r="CZ36" i="6" s="1"/>
  <c r="CZ37" i="6" s="1"/>
  <c r="P27" i="6" s="1"/>
  <c r="Y15" i="6" s="1"/>
  <c r="L35" i="6"/>
  <c r="K35" i="6"/>
  <c r="CY30" i="6"/>
  <c r="CX30" i="6"/>
  <c r="CZ28" i="6"/>
  <c r="CZ29" i="6" s="1"/>
  <c r="CZ30" i="6" s="1"/>
  <c r="P23" i="6" s="1"/>
  <c r="Y11" i="6" s="1"/>
  <c r="Z17" i="6" s="1"/>
  <c r="CY23" i="6"/>
  <c r="CX23" i="6"/>
  <c r="BP23" i="6"/>
  <c r="BO23" i="6"/>
  <c r="AN23" i="6"/>
  <c r="AM23" i="6"/>
  <c r="CZ21" i="6"/>
  <c r="CZ22" i="6" s="1"/>
  <c r="CZ23" i="6" s="1"/>
  <c r="P26" i="6" s="1"/>
  <c r="Y14" i="6" s="1"/>
  <c r="BQ21" i="6"/>
  <c r="BQ22" i="6" s="1"/>
  <c r="BQ23" i="6" s="1"/>
  <c r="AO21" i="6"/>
  <c r="AO22" i="6" s="1"/>
  <c r="AO23" i="6" s="1"/>
  <c r="R14" i="6" s="1"/>
  <c r="CY16" i="6"/>
  <c r="BP16" i="6"/>
  <c r="BO16" i="6"/>
  <c r="AU16" i="6"/>
  <c r="AT16" i="6"/>
  <c r="CY58" i="6"/>
  <c r="CX58" i="6"/>
  <c r="BQ15" i="6"/>
  <c r="BQ16" i="6" s="1"/>
  <c r="R17" i="6" s="1"/>
  <c r="Z50" i="6" s="1"/>
  <c r="CZ57" i="6"/>
  <c r="CZ58" i="6" s="1"/>
  <c r="P24" i="6" s="1"/>
  <c r="Y12" i="6" s="1"/>
  <c r="CX14" i="6"/>
  <c r="CZ14" i="6" s="1"/>
  <c r="CZ15" i="6" s="1"/>
  <c r="CZ16" i="6" s="1"/>
  <c r="P25" i="6" s="1"/>
  <c r="Y13" i="6" s="1"/>
  <c r="BQ14" i="6"/>
  <c r="AV14" i="6"/>
  <c r="AV15" i="6" s="1"/>
  <c r="AV16" i="6" s="1"/>
  <c r="P10" i="6" s="1"/>
  <c r="Z39" i="6" s="1"/>
  <c r="CZ56" i="6"/>
  <c r="AF13" i="6"/>
  <c r="AE13" i="6"/>
  <c r="AG12" i="6"/>
  <c r="AE12" i="6"/>
  <c r="AG11" i="6"/>
  <c r="AE11" i="6"/>
  <c r="CQ10" i="6"/>
  <c r="AG10" i="6"/>
  <c r="AE10" i="6"/>
  <c r="CY9" i="6"/>
  <c r="CK9" i="6"/>
  <c r="CC9" i="6"/>
  <c r="BV9" i="6"/>
  <c r="BO9" i="6"/>
  <c r="BI9" i="6"/>
  <c r="BH9" i="6"/>
  <c r="BB9" i="6"/>
  <c r="AU9" i="6"/>
  <c r="AN9" i="6"/>
  <c r="AG9" i="6"/>
  <c r="AG14" i="6" s="1"/>
  <c r="AE9" i="6"/>
  <c r="AF8" i="6"/>
  <c r="AE8" i="6"/>
  <c r="CX7" i="6"/>
  <c r="CX9" i="6" s="1"/>
  <c r="CR7" i="6"/>
  <c r="CS7" i="6" s="1"/>
  <c r="CS8" i="6" s="1"/>
  <c r="CS9" i="6" s="1"/>
  <c r="CS10" i="6" s="1"/>
  <c r="R22" i="6" s="1"/>
  <c r="Z9" i="6" s="1"/>
  <c r="CJ7" i="6"/>
  <c r="CJ9" i="6" s="1"/>
  <c r="CD7" i="6"/>
  <c r="CD9" i="6" s="1"/>
  <c r="BW7" i="6"/>
  <c r="BX7" i="6" s="1"/>
  <c r="BX8" i="6" s="1"/>
  <c r="BX9" i="6" s="1"/>
  <c r="BP7" i="6"/>
  <c r="BQ7" i="6" s="1"/>
  <c r="BQ8" i="6" s="1"/>
  <c r="BQ9" i="6" s="1"/>
  <c r="R16" i="6" s="1"/>
  <c r="Z47" i="6" s="1"/>
  <c r="BI7" i="6"/>
  <c r="BJ7" i="6" s="1"/>
  <c r="BJ8" i="6" s="1"/>
  <c r="BJ9" i="6" s="1"/>
  <c r="R15" i="6" s="1"/>
  <c r="Z46" i="6" s="1"/>
  <c r="BA7" i="6"/>
  <c r="BC7" i="6" s="1"/>
  <c r="BC8" i="6" s="1"/>
  <c r="BC9" i="6" s="1"/>
  <c r="P13" i="6" s="1"/>
  <c r="Z42" i="6" s="1"/>
  <c r="AT7" i="6"/>
  <c r="AT9" i="6" s="1"/>
  <c r="AM7" i="6"/>
  <c r="AO7" i="6" s="1"/>
  <c r="AO8" i="6" s="1"/>
  <c r="AO9" i="6" s="1"/>
  <c r="P11" i="6" s="1"/>
  <c r="Z40" i="6" s="1"/>
  <c r="AF7" i="6"/>
  <c r="AH7" i="6" s="1"/>
  <c r="AH8" i="6" s="1"/>
  <c r="AH9" i="6" s="1"/>
  <c r="AH10" i="6" s="1"/>
  <c r="AH11" i="6" s="1"/>
  <c r="AH12" i="6" s="1"/>
  <c r="AH13" i="6" s="1"/>
  <c r="AH14" i="6" s="1"/>
  <c r="P9" i="6" s="1"/>
  <c r="AE7" i="6"/>
  <c r="T56" i="5"/>
  <c r="T54" i="5"/>
  <c r="S53" i="5"/>
  <c r="S52" i="5"/>
  <c r="S51" i="5"/>
  <c r="T50" i="5"/>
  <c r="T49" i="5"/>
  <c r="T48" i="5"/>
  <c r="T44" i="5"/>
  <c r="T43" i="5"/>
  <c r="T42" i="5"/>
  <c r="T41" i="5"/>
  <c r="F41" i="5"/>
  <c r="E41" i="5"/>
  <c r="T38" i="5"/>
  <c r="T37" i="5"/>
  <c r="T36" i="5"/>
  <c r="T35" i="5"/>
  <c r="T34" i="5"/>
  <c r="T27" i="5"/>
  <c r="T26" i="5"/>
  <c r="T24" i="5"/>
  <c r="L21" i="5"/>
  <c r="J21" i="5"/>
  <c r="J20" i="5"/>
  <c r="J19" i="5"/>
  <c r="L18" i="5"/>
  <c r="J17" i="5"/>
  <c r="CT16" i="5"/>
  <c r="CS16" i="5"/>
  <c r="CR16" i="5"/>
  <c r="L16" i="5"/>
  <c r="CT15" i="5"/>
  <c r="L15" i="5"/>
  <c r="CT14" i="5"/>
  <c r="CR14" i="5"/>
  <c r="AB14" i="5"/>
  <c r="AA14" i="5"/>
  <c r="Z14" i="5"/>
  <c r="T14" i="5"/>
  <c r="L14" i="5"/>
  <c r="AB13" i="5"/>
  <c r="Z13" i="5"/>
  <c r="Y13" i="5"/>
  <c r="T13" i="5"/>
  <c r="L13" i="5"/>
  <c r="AB12" i="5"/>
  <c r="AA12" i="5"/>
  <c r="Y12" i="5"/>
  <c r="S12" i="5"/>
  <c r="J12" i="5"/>
  <c r="AB11" i="5"/>
  <c r="AA11" i="5"/>
  <c r="Y11" i="5"/>
  <c r="S11" i="5"/>
  <c r="J11" i="5"/>
  <c r="AB10" i="5"/>
  <c r="AA10" i="5"/>
  <c r="Y10" i="5"/>
  <c r="J10" i="5"/>
  <c r="CT9" i="5"/>
  <c r="CS9" i="5"/>
  <c r="CR9" i="5"/>
  <c r="CM9" i="5"/>
  <c r="CL9" i="5"/>
  <c r="CK9" i="5"/>
  <c r="CF9" i="5"/>
  <c r="CE9" i="5"/>
  <c r="CD9" i="5"/>
  <c r="BY9" i="5"/>
  <c r="BX9" i="5"/>
  <c r="BW9" i="5"/>
  <c r="BR9" i="5"/>
  <c r="BQ9" i="5"/>
  <c r="BP9" i="5"/>
  <c r="BK9" i="5"/>
  <c r="BJ9" i="5"/>
  <c r="BI9" i="5"/>
  <c r="BD9" i="5"/>
  <c r="BC9" i="5"/>
  <c r="BB9" i="5"/>
  <c r="AW9" i="5"/>
  <c r="AV9" i="5"/>
  <c r="AU9" i="5"/>
  <c r="AP9" i="5"/>
  <c r="AO9" i="5"/>
  <c r="AN9" i="5"/>
  <c r="AI9" i="5"/>
  <c r="AH9" i="5"/>
  <c r="AG9" i="5"/>
  <c r="AB9" i="5"/>
  <c r="AA9" i="5"/>
  <c r="Y9" i="5"/>
  <c r="T9" i="5"/>
  <c r="J9" i="5"/>
  <c r="CT8" i="5"/>
  <c r="CF8" i="5"/>
  <c r="BY8" i="5"/>
  <c r="BR8" i="5"/>
  <c r="BK8" i="5"/>
  <c r="BD8" i="5"/>
  <c r="AW8" i="5"/>
  <c r="AP8" i="5"/>
  <c r="AI8" i="5"/>
  <c r="AB8" i="5"/>
  <c r="Z8" i="5"/>
  <c r="Y8" i="5"/>
  <c r="CT7" i="5"/>
  <c r="CR7" i="5"/>
  <c r="CM7" i="5"/>
  <c r="CL7" i="5"/>
  <c r="CF7" i="5"/>
  <c r="CD7" i="5"/>
  <c r="BY7" i="5"/>
  <c r="BX7" i="5"/>
  <c r="BR7" i="5"/>
  <c r="BQ7" i="5"/>
  <c r="BK7" i="5"/>
  <c r="BJ7" i="5"/>
  <c r="BD7" i="5"/>
  <c r="BC7" i="5"/>
  <c r="AW7" i="5"/>
  <c r="AU7" i="5"/>
  <c r="AP7" i="5"/>
  <c r="AN7" i="5"/>
  <c r="AI7" i="5"/>
  <c r="AG7" i="5"/>
  <c r="AB7" i="5"/>
  <c r="Z7" i="5"/>
  <c r="Y7" i="5"/>
  <c r="T42" i="2"/>
  <c r="F40" i="2"/>
  <c r="E40" i="2"/>
  <c r="T36" i="2"/>
  <c r="M36" i="2"/>
  <c r="T30" i="2"/>
  <c r="M30" i="2"/>
  <c r="T24" i="2"/>
  <c r="M24" i="2"/>
  <c r="AA20" i="2"/>
  <c r="Y20" i="2"/>
  <c r="T18" i="2"/>
  <c r="M18" i="2"/>
  <c r="T12" i="2"/>
  <c r="M12" i="2"/>
  <c r="M11" i="2"/>
  <c r="M10" i="2"/>
  <c r="M9" i="2"/>
  <c r="M8" i="2"/>
  <c r="M7" i="2"/>
  <c r="T6" i="2"/>
  <c r="M6" i="2"/>
  <c r="AE62" i="1"/>
  <c r="AE60" i="1"/>
  <c r="AE59" i="1"/>
  <c r="AD58" i="1"/>
  <c r="AD57" i="1"/>
  <c r="AE54" i="1"/>
  <c r="AE51" i="1"/>
  <c r="AE43" i="1"/>
  <c r="AE42" i="1"/>
  <c r="Z42" i="1"/>
  <c r="Z41" i="1"/>
  <c r="AE40" i="1"/>
  <c r="AD40" i="1"/>
  <c r="Z40" i="1"/>
  <c r="AD39" i="1"/>
  <c r="Z39" i="1"/>
  <c r="Z38" i="1"/>
  <c r="AE36" i="1"/>
  <c r="AE35" i="1"/>
  <c r="Z35" i="1"/>
  <c r="AE34" i="1"/>
  <c r="Z34" i="1"/>
  <c r="AE33" i="1"/>
  <c r="Z33" i="1"/>
  <c r="AE32" i="1"/>
  <c r="Z32" i="1"/>
  <c r="AE25" i="1"/>
  <c r="AE24" i="1"/>
  <c r="AE23" i="1"/>
  <c r="AE22" i="1"/>
  <c r="O17" i="1"/>
  <c r="M17" i="1"/>
  <c r="E17" i="1"/>
  <c r="U16" i="1"/>
  <c r="S16" i="1"/>
  <c r="Q16" i="1"/>
  <c r="O16" i="1"/>
  <c r="M16" i="1"/>
  <c r="K16" i="1"/>
  <c r="I16" i="1"/>
  <c r="G16" i="1"/>
  <c r="E16" i="1"/>
  <c r="AE14" i="1"/>
  <c r="AE13" i="1"/>
  <c r="AD12" i="1"/>
  <c r="AD11" i="1"/>
  <c r="AD10" i="1"/>
  <c r="AD9" i="1"/>
  <c r="AE6" i="1"/>
  <c r="X19" i="8" l="1"/>
  <c r="AF49" i="8" s="1"/>
  <c r="R19" i="6"/>
  <c r="Z49" i="6" s="1"/>
  <c r="Z43" i="6"/>
  <c r="Z18" i="6"/>
  <c r="Z28" i="6" s="1"/>
  <c r="Z31" i="6" s="1"/>
  <c r="Z55" i="6" s="1"/>
  <c r="Z51" i="6"/>
  <c r="AM9" i="6"/>
  <c r="BW9" i="6"/>
  <c r="AF14" i="6"/>
  <c r="AV7" i="6"/>
  <c r="AV8" i="6" s="1"/>
  <c r="AV9" i="6" s="1"/>
  <c r="P12" i="6" s="1"/>
  <c r="Z41" i="6" s="1"/>
  <c r="CL7" i="6"/>
  <c r="CL8" i="6" s="1"/>
  <c r="CL9" i="6" s="1"/>
  <c r="P21" i="6" s="1"/>
  <c r="Z30" i="6" s="1"/>
  <c r="CZ7" i="6"/>
  <c r="CZ8" i="6" s="1"/>
  <c r="CZ9" i="6" s="1"/>
  <c r="BP9" i="6"/>
  <c r="CR10" i="6"/>
  <c r="CX16" i="6"/>
  <c r="AF18" i="8"/>
  <c r="AF28" i="8" s="1"/>
  <c r="AF31" i="8" s="1"/>
  <c r="AF55" i="8" s="1"/>
  <c r="BA9" i="6"/>
  <c r="AF51" i="8"/>
  <c r="CE7" i="6"/>
  <c r="CE8" i="6" s="1"/>
  <c r="CE9" i="6" s="1"/>
  <c r="R20" i="6" s="1"/>
  <c r="AF57" i="8" l="1"/>
  <c r="Z57" i="6"/>
  <c r="P29" i="6"/>
  <c r="R29" i="6"/>
  <c r="X29" i="8"/>
</calcChain>
</file>

<file path=xl/sharedStrings.xml><?xml version="1.0" encoding="utf-8"?>
<sst xmlns="http://schemas.openxmlformats.org/spreadsheetml/2006/main" count="1843" uniqueCount="210">
  <si>
    <t>Cash</t>
  </si>
  <si>
    <t>+</t>
  </si>
  <si>
    <t>Accounts Receivable</t>
  </si>
  <si>
    <t>Supplies</t>
  </si>
  <si>
    <t>Equipment</t>
  </si>
  <si>
    <t>=</t>
  </si>
  <si>
    <t>Trans Action</t>
  </si>
  <si>
    <t>Accounts Payable</t>
  </si>
  <si>
    <t>Liabillies</t>
  </si>
  <si>
    <t>Equity</t>
  </si>
  <si>
    <t>Share Capital</t>
  </si>
  <si>
    <t>Revenue</t>
  </si>
  <si>
    <t>-</t>
  </si>
  <si>
    <t>Expense</t>
  </si>
  <si>
    <t>Drawings</t>
  </si>
  <si>
    <t>Shere</t>
  </si>
  <si>
    <t>Serive Revenue</t>
  </si>
  <si>
    <t>Adver. Expense</t>
  </si>
  <si>
    <t>Rent Expense</t>
  </si>
  <si>
    <t>Sal.\Wages Exp</t>
  </si>
  <si>
    <t>Untilities Expense</t>
  </si>
  <si>
    <t>Withdrawing</t>
  </si>
  <si>
    <t>Softbyte Inc.</t>
  </si>
  <si>
    <t>Income Statement</t>
  </si>
  <si>
    <t>Revenues</t>
  </si>
  <si>
    <t>Salaries and Wages expense</t>
  </si>
  <si>
    <t>Advertising. Expense</t>
  </si>
  <si>
    <t xml:space="preserve">    Total  Expense</t>
  </si>
  <si>
    <t>Net income</t>
  </si>
  <si>
    <t>Retained Ernings  Statement</t>
  </si>
  <si>
    <t>For the Month Ended September 30,204</t>
  </si>
  <si>
    <t>For the Month Ended September 30,2024</t>
  </si>
  <si>
    <t>Retined earinihg, September 1</t>
  </si>
  <si>
    <t>Add: Net income</t>
  </si>
  <si>
    <t>Less:  Drawings</t>
  </si>
  <si>
    <t>Retined earinihg, September 30</t>
  </si>
  <si>
    <t xml:space="preserve">            Total Assets</t>
  </si>
  <si>
    <t>Equity and Liabilities</t>
  </si>
  <si>
    <t xml:space="preserve">            Total Equity and Liabilities</t>
  </si>
  <si>
    <t>Assets</t>
  </si>
  <si>
    <t xml:space="preserve">Balance Sheet  </t>
  </si>
  <si>
    <t xml:space="preserve"> Statement of Cash Flows</t>
  </si>
  <si>
    <t xml:space="preserve"> </t>
  </si>
  <si>
    <t>Cash flows from oparating activities</t>
  </si>
  <si>
    <t xml:space="preserve">          Cash receipts from revenue</t>
  </si>
  <si>
    <t xml:space="preserve">          Cash payments from rexpense</t>
  </si>
  <si>
    <t xml:space="preserve">          Net cash provided by opating activities</t>
  </si>
  <si>
    <t>Cash flows from investig activities</t>
  </si>
  <si>
    <t xml:space="preserve">          Purchase of equipment</t>
  </si>
  <si>
    <t>Cash flows from financing activities</t>
  </si>
  <si>
    <t xml:space="preserve">          Sale of ordinary shares</t>
  </si>
  <si>
    <t xml:space="preserve">          Payment of cash Drawings</t>
  </si>
  <si>
    <t>Net incease in cash</t>
  </si>
  <si>
    <t>Cash at the beginning of the period</t>
  </si>
  <si>
    <t>Cash at the end of the period</t>
  </si>
  <si>
    <t>GENERAL JOURNAL</t>
  </si>
  <si>
    <t>Date</t>
  </si>
  <si>
    <t>Account Title</t>
  </si>
  <si>
    <t>Debit</t>
  </si>
  <si>
    <t>Credit</t>
  </si>
  <si>
    <t xml:space="preserve">          Owner's Capital</t>
  </si>
  <si>
    <t>Eqiument</t>
  </si>
  <si>
    <t xml:space="preserve">          Cash</t>
  </si>
  <si>
    <t>2017 Oct. 1</t>
  </si>
  <si>
    <t xml:space="preserve">          Notes payable</t>
  </si>
  <si>
    <t>Ref…</t>
  </si>
  <si>
    <t xml:space="preserve">              (Owner's investment of cash in business)</t>
  </si>
  <si>
    <t xml:space="preserve">              (Isued 3-month,, 12/ note for office)</t>
  </si>
  <si>
    <t xml:space="preserve">              (Received cash from R. Knox for future service)</t>
  </si>
  <si>
    <t xml:space="preserve">              (Paid October rent)</t>
  </si>
  <si>
    <t>Prepaid Insurance</t>
  </si>
  <si>
    <t xml:space="preserve">              (Paid one-year policy; effective date October 1)</t>
  </si>
  <si>
    <t xml:space="preserve">          Accounts Payable</t>
  </si>
  <si>
    <t xml:space="preserve">              (Purchased supplies on account from Aero suply)</t>
  </si>
  <si>
    <t>Owner's Capital</t>
  </si>
  <si>
    <t>Owner's Drawing</t>
  </si>
  <si>
    <t xml:space="preserve">              (Paid salaries to date)</t>
  </si>
  <si>
    <t>Salaries and Wages Expense</t>
  </si>
  <si>
    <t xml:space="preserve">              (Withdrew cash for personal use)</t>
  </si>
  <si>
    <t xml:space="preserve">          Service Revenue</t>
  </si>
  <si>
    <t xml:space="preserve">              (Received cash  for servics perforned)</t>
  </si>
  <si>
    <t xml:space="preserve">PIONEER ADVERTISING </t>
  </si>
  <si>
    <t>Trial Balance</t>
  </si>
  <si>
    <t>October 31,2017</t>
  </si>
  <si>
    <t xml:space="preserve">  Notes payable</t>
  </si>
  <si>
    <t>Unearned Serivice Revenue</t>
  </si>
  <si>
    <t xml:space="preserve"> Service Revenue</t>
  </si>
  <si>
    <t>Explanation</t>
  </si>
  <si>
    <t>Balance</t>
  </si>
  <si>
    <t>J1</t>
  </si>
  <si>
    <t>2017 Oct. 5</t>
  </si>
  <si>
    <t>2017 Oct. 4</t>
  </si>
  <si>
    <t xml:space="preserve"> Notes payable</t>
  </si>
  <si>
    <r>
      <t xml:space="preserve">No. </t>
    </r>
    <r>
      <rPr>
        <b/>
        <sz val="16"/>
        <color rgb="FFFFFF00"/>
        <rFont val="Calibri"/>
        <family val="2"/>
        <scheme val="minor"/>
      </rPr>
      <t>101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</si>
  <si>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130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</si>
  <si>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157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</si>
  <si>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200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</si>
  <si>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201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</si>
  <si>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209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</si>
  <si>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301</t>
    </r>
  </si>
  <si>
    <t>Owner's Drawings</t>
  </si>
  <si>
    <r>
      <t xml:space="preserve">No. </t>
    </r>
    <r>
      <rPr>
        <b/>
        <sz val="16"/>
        <color rgb="FFFFFF00"/>
        <rFont val="Calibri"/>
        <family val="2"/>
        <scheme val="minor"/>
      </rPr>
      <t>306</t>
    </r>
  </si>
  <si>
    <t>Service Revenue</t>
  </si>
  <si>
    <r>
      <t xml:space="preserve">No. </t>
    </r>
    <r>
      <rPr>
        <b/>
        <sz val="16"/>
        <color rgb="FFFFFF00"/>
        <rFont val="Calibri"/>
        <family val="2"/>
        <scheme val="minor"/>
      </rPr>
      <t>400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</si>
  <si>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729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</si>
  <si>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726</t>
    </r>
  </si>
  <si>
    <t>Debit +</t>
  </si>
  <si>
    <t xml:space="preserve">Credit -  </t>
  </si>
  <si>
    <t>Debit -</t>
  </si>
  <si>
    <t>Credit +</t>
  </si>
  <si>
    <t>J2</t>
  </si>
  <si>
    <t>Adjusting Entries</t>
  </si>
  <si>
    <t xml:space="preserve"> Oct. 31</t>
  </si>
  <si>
    <t>Supplies Expense</t>
  </si>
  <si>
    <t xml:space="preserve">          Supplies </t>
  </si>
  <si>
    <t xml:space="preserve">              (To record supplies used)</t>
  </si>
  <si>
    <t>Insurance Expense</t>
  </si>
  <si>
    <t xml:space="preserve">          Prepaid Insurance</t>
  </si>
  <si>
    <t>Depercation Expense</t>
  </si>
  <si>
    <t xml:space="preserve">          Accumulateted--Depercation Expense</t>
  </si>
  <si>
    <t xml:space="preserve">              (To record monthly depreciation)</t>
  </si>
  <si>
    <t xml:space="preserve">              (To record insurance expired )</t>
  </si>
  <si>
    <t xml:space="preserve">              (To record  interest on motes payable)</t>
  </si>
  <si>
    <t>Interest Expense</t>
  </si>
  <si>
    <t xml:space="preserve">          Interest Payable</t>
  </si>
  <si>
    <t xml:space="preserve">              (To record  revevue for services performed)</t>
  </si>
  <si>
    <t xml:space="preserve">              (To record accrued salaries and wages)</t>
  </si>
  <si>
    <t xml:space="preserve">        Salaries and Wages Payable</t>
  </si>
  <si>
    <t xml:space="preserve">              (To record interest on notes payable)</t>
  </si>
  <si>
    <t xml:space="preserve"> Interest Payable</t>
  </si>
  <si>
    <r>
      <t xml:space="preserve">No. </t>
    </r>
    <r>
      <rPr>
        <b/>
        <sz val="16"/>
        <color rgb="FFFFFF00"/>
        <rFont val="Calibri"/>
        <family val="2"/>
        <scheme val="minor"/>
      </rPr>
      <t>230</t>
    </r>
  </si>
  <si>
    <t>j2</t>
  </si>
  <si>
    <t>Adj.entry</t>
  </si>
  <si>
    <t>2017 Oct. 31</t>
  </si>
  <si>
    <r>
      <t xml:space="preserve">No. </t>
    </r>
    <r>
      <rPr>
        <b/>
        <sz val="16"/>
        <color rgb="FFFFFF00"/>
        <rFont val="Calibri"/>
        <family val="2"/>
        <scheme val="minor"/>
      </rPr>
      <t>631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</si>
  <si>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722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</si>
  <si>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711</t>
    </r>
  </si>
  <si>
    <t>`</t>
  </si>
  <si>
    <t>Credit -</t>
  </si>
  <si>
    <r>
      <t xml:space="preserve">No. </t>
    </r>
    <r>
      <rPr>
        <b/>
        <sz val="16"/>
        <color rgb="FFFFFF00"/>
        <rFont val="Calibri"/>
        <family val="2"/>
        <scheme val="minor"/>
      </rPr>
      <t>905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</si>
  <si>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112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</si>
  <si>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126</t>
    </r>
  </si>
  <si>
    <t>Accumulateted--Depercation Expense</t>
  </si>
  <si>
    <r>
      <t xml:space="preserve">No. </t>
    </r>
    <r>
      <rPr>
        <b/>
        <sz val="16"/>
        <color rgb="FFFFFF00"/>
        <rFont val="Calibri"/>
        <family val="2"/>
        <scheme val="minor"/>
      </rPr>
      <t>158</t>
    </r>
  </si>
  <si>
    <r>
      <t xml:space="preserve">No. </t>
    </r>
    <r>
      <rPr>
        <b/>
        <sz val="16"/>
        <color rgb="FFFFFF00"/>
        <rFont val="Calibri"/>
        <family val="2"/>
        <scheme val="minor"/>
      </rPr>
      <t>212</t>
    </r>
  </si>
  <si>
    <t xml:space="preserve">  Eqiument</t>
  </si>
  <si>
    <t>Notes payable</t>
  </si>
  <si>
    <t>Salaries and Wages payable</t>
  </si>
  <si>
    <t>Interest payable</t>
  </si>
  <si>
    <t>Accumulateted--Depercation Eqiument</t>
  </si>
  <si>
    <t>Worksheets</t>
  </si>
  <si>
    <t>Dr.</t>
  </si>
  <si>
    <t>Cr.</t>
  </si>
  <si>
    <t>Adjustments</t>
  </si>
  <si>
    <t>Accounts Tiles</t>
  </si>
  <si>
    <t>Adjusted Trial Balance</t>
  </si>
  <si>
    <t xml:space="preserve"> 2017 Oct. 31</t>
  </si>
  <si>
    <t>Serivece Revenue</t>
  </si>
  <si>
    <t xml:space="preserve">          Income Summary </t>
  </si>
  <si>
    <t xml:space="preserve">Income Summary </t>
  </si>
  <si>
    <t xml:space="preserve">           Supplies Expense</t>
  </si>
  <si>
    <t xml:space="preserve">           Depercation Expense</t>
  </si>
  <si>
    <t xml:space="preserve">            Insurance Expense</t>
  </si>
  <si>
    <t xml:space="preserve">            Salaries and Wages Expense</t>
  </si>
  <si>
    <t xml:space="preserve">            Rent Expense</t>
  </si>
  <si>
    <t xml:space="preserve">            Interest Expense</t>
  </si>
  <si>
    <t xml:space="preserve">                   (To close net income accounts)</t>
  </si>
  <si>
    <t xml:space="preserve">                   (To close net income to Capital)</t>
  </si>
  <si>
    <t xml:space="preserve">                   (To close Drawings  to Capital)</t>
  </si>
  <si>
    <t xml:space="preserve">           Owner's Drawings</t>
  </si>
  <si>
    <t xml:space="preserve"> Supplies Expense</t>
  </si>
  <si>
    <t>Add: Investments</t>
  </si>
  <si>
    <t>Net Income</t>
  </si>
  <si>
    <t>Owner's drawings</t>
  </si>
  <si>
    <t>Owner's capital October 31</t>
  </si>
  <si>
    <t>Liabilities</t>
  </si>
  <si>
    <t xml:space="preserve">           Total Liabilities</t>
  </si>
  <si>
    <t>Owner's Equity</t>
  </si>
  <si>
    <t xml:space="preserve">           Total</t>
  </si>
  <si>
    <t>Accumulateted Depercation---Eqiupment</t>
  </si>
  <si>
    <t xml:space="preserve"> Depercation Expense</t>
  </si>
  <si>
    <t>(e</t>
  </si>
  <si>
    <t>(b</t>
  </si>
  <si>
    <t>(d</t>
  </si>
  <si>
    <t>(g</t>
  </si>
  <si>
    <t>(a</t>
  </si>
  <si>
    <t>(c</t>
  </si>
  <si>
    <t>(f</t>
  </si>
  <si>
    <t xml:space="preserve">            Net Income</t>
  </si>
  <si>
    <t>Less:Drawings</t>
  </si>
  <si>
    <t>Owner's equity</t>
  </si>
  <si>
    <t>Owner's capital</t>
  </si>
  <si>
    <t xml:space="preserve">           Total Liabilities and Owner's equity</t>
  </si>
  <si>
    <t>Total Liabilities and Owner's equity</t>
  </si>
  <si>
    <t>Income Summary</t>
  </si>
  <si>
    <r>
      <t xml:space="preserve">No. </t>
    </r>
    <r>
      <rPr>
        <b/>
        <sz val="16"/>
        <color rgb="FFFFFF00"/>
        <rFont val="Calibri"/>
        <family val="2"/>
        <scheme val="minor"/>
      </rPr>
      <t>350</t>
    </r>
  </si>
  <si>
    <t>(I)</t>
  </si>
  <si>
    <t xml:space="preserve">          Unearned Serivice Revenue</t>
  </si>
  <si>
    <t xml:space="preserve">          Total  Expense</t>
  </si>
  <si>
    <t xml:space="preserve">         Total Liabilities</t>
  </si>
  <si>
    <t xml:space="preserve">         Total Owner's Equity</t>
  </si>
  <si>
    <t xml:space="preserve"> Total Liabilities and  Owner's Equity</t>
  </si>
  <si>
    <t xml:space="preserve">     Total Expense</t>
  </si>
  <si>
    <t>Salaries and Wages Payable</t>
  </si>
  <si>
    <t xml:space="preserve">             Owner's Capital</t>
  </si>
  <si>
    <t xml:space="preserve">                        Total  Owner's Capital</t>
  </si>
  <si>
    <t xml:space="preserve">                        Total  Liabilities and Owner's Capital</t>
  </si>
  <si>
    <t>Closing Entries</t>
  </si>
  <si>
    <t>J3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</si>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</sst>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3" borderId="8" xfId="0" applyFont="1" applyFill="1" applyBorder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0" fontId="0" fillId="3" borderId="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" xfId="0" applyFill="1" applyBorder="1"/>
    <xf numFmtId="0" fontId="0" fillId="3" borderId="13" xfId="0" applyFill="1" applyBorder="1"/>
    <xf numFmtId="0" fontId="0" fillId="3" borderId="0" xfId="0" applyFill="1" applyBorder="1" applyAlignment="1">
      <alignment horizontal="center"/>
    </xf>
    <xf numFmtId="0" fontId="0" fillId="2" borderId="0" xfId="0" applyFill="1" applyBorder="1"/>
    <xf numFmtId="0" fontId="0" fillId="2" borderId="1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4" fontId="0" fillId="2" borderId="14" xfId="1" applyNumberFormat="1" applyFont="1" applyFill="1" applyBorder="1"/>
    <xf numFmtId="164" fontId="0" fillId="2" borderId="2" xfId="1" applyNumberFormat="1" applyFont="1" applyFill="1" applyBorder="1"/>
    <xf numFmtId="0" fontId="0" fillId="2" borderId="17" xfId="0" applyFill="1" applyBorder="1"/>
    <xf numFmtId="0" fontId="0" fillId="2" borderId="18" xfId="0" applyFill="1" applyBorder="1"/>
    <xf numFmtId="164" fontId="0" fillId="2" borderId="0" xfId="1" applyNumberFormat="1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19" xfId="0" applyFill="1" applyBorder="1"/>
    <xf numFmtId="164" fontId="2" fillId="2" borderId="20" xfId="1" applyNumberFormat="1" applyFont="1" applyFill="1" applyBorder="1"/>
    <xf numFmtId="1" fontId="0" fillId="2" borderId="0" xfId="0" applyNumberFormat="1" applyFill="1" applyBorder="1" applyAlignment="1"/>
    <xf numFmtId="1" fontId="1" fillId="2" borderId="0" xfId="0" applyNumberFormat="1" applyFont="1" applyFill="1" applyBorder="1" applyAlignment="1"/>
    <xf numFmtId="1" fontId="0" fillId="2" borderId="14" xfId="0" applyNumberFormat="1" applyFill="1" applyBorder="1" applyAlignment="1"/>
    <xf numFmtId="1" fontId="0" fillId="2" borderId="2" xfId="0" applyNumberFormat="1" applyFill="1" applyBorder="1" applyAlignment="1"/>
    <xf numFmtId="1" fontId="2" fillId="2" borderId="21" xfId="0" applyNumberFormat="1" applyFont="1" applyFill="1" applyBorder="1" applyAlignment="1"/>
    <xf numFmtId="1" fontId="0" fillId="2" borderId="0" xfId="0" applyNumberFormat="1" applyFill="1" applyBorder="1"/>
    <xf numFmtId="1" fontId="1" fillId="2" borderId="0" xfId="0" applyNumberFormat="1" applyFont="1" applyFill="1" applyBorder="1"/>
    <xf numFmtId="1" fontId="2" fillId="2" borderId="2" xfId="0" applyNumberFormat="1" applyFont="1" applyFill="1" applyBorder="1"/>
    <xf numFmtId="1" fontId="2" fillId="2" borderId="20" xfId="0" applyNumberFormat="1" applyFont="1" applyFill="1" applyBorder="1"/>
    <xf numFmtId="0" fontId="2" fillId="2" borderId="20" xfId="0" applyFont="1" applyFill="1" applyBorder="1"/>
    <xf numFmtId="0" fontId="0" fillId="2" borderId="14" xfId="0" applyFill="1" applyBorder="1"/>
    <xf numFmtId="0" fontId="6" fillId="2" borderId="20" xfId="0" applyFont="1" applyFill="1" applyBorder="1"/>
    <xf numFmtId="0" fontId="0" fillId="2" borderId="22" xfId="0" applyFill="1" applyBorder="1"/>
    <xf numFmtId="0" fontId="0" fillId="2" borderId="23" xfId="0" applyFill="1" applyBorder="1"/>
    <xf numFmtId="0" fontId="2" fillId="2" borderId="24" xfId="0" applyFont="1" applyFill="1" applyBorder="1"/>
    <xf numFmtId="164" fontId="0" fillId="2" borderId="5" xfId="1" applyNumberFormat="1" applyFont="1" applyFill="1" applyBorder="1"/>
    <xf numFmtId="0" fontId="2" fillId="2" borderId="25" xfId="0" applyFont="1" applyFill="1" applyBorder="1"/>
    <xf numFmtId="16" fontId="0" fillId="2" borderId="24" xfId="0" applyNumberFormat="1" applyFill="1" applyBorder="1"/>
    <xf numFmtId="0" fontId="0" fillId="2" borderId="24" xfId="0" applyFill="1" applyBorder="1"/>
    <xf numFmtId="164" fontId="0" fillId="2" borderId="24" xfId="1" applyNumberFormat="1" applyFont="1" applyFill="1" applyBorder="1"/>
    <xf numFmtId="164" fontId="1" fillId="2" borderId="0" xfId="0" applyNumberFormat="1" applyFont="1" applyFill="1"/>
    <xf numFmtId="0" fontId="0" fillId="5" borderId="0" xfId="0" applyFill="1"/>
    <xf numFmtId="0" fontId="1" fillId="5" borderId="2" xfId="0" applyFont="1" applyFill="1" applyBorder="1"/>
    <xf numFmtId="0" fontId="1" fillId="5" borderId="0" xfId="0" applyFont="1" applyFill="1"/>
    <xf numFmtId="0" fontId="9" fillId="5" borderId="20" xfId="0" applyFont="1" applyFill="1" applyBorder="1"/>
    <xf numFmtId="0" fontId="9" fillId="5" borderId="0" xfId="0" applyFont="1" applyFill="1"/>
    <xf numFmtId="0" fontId="2" fillId="2" borderId="4" xfId="0" applyFont="1" applyFill="1" applyBorder="1"/>
    <xf numFmtId="164" fontId="0" fillId="2" borderId="22" xfId="1" applyNumberFormat="1" applyFont="1" applyFill="1" applyBorder="1"/>
    <xf numFmtId="164" fontId="0" fillId="2" borderId="23" xfId="1" applyNumberFormat="1" applyFont="1" applyFill="1" applyBorder="1"/>
    <xf numFmtId="164" fontId="0" fillId="5" borderId="0" xfId="1" applyNumberFormat="1" applyFont="1" applyFill="1"/>
    <xf numFmtId="0" fontId="8" fillId="4" borderId="16" xfId="0" applyFont="1" applyFill="1" applyBorder="1" applyAlignment="1"/>
    <xf numFmtId="0" fontId="1" fillId="2" borderId="24" xfId="0" applyFont="1" applyFill="1" applyBorder="1" applyAlignment="1">
      <alignment horizontal="center"/>
    </xf>
    <xf numFmtId="0" fontId="11" fillId="2" borderId="22" xfId="0" applyFont="1" applyFill="1" applyBorder="1"/>
    <xf numFmtId="164" fontId="11" fillId="2" borderId="22" xfId="1" applyNumberFormat="1" applyFont="1" applyFill="1" applyBorder="1"/>
    <xf numFmtId="0" fontId="11" fillId="2" borderId="23" xfId="0" applyFont="1" applyFill="1" applyBorder="1"/>
    <xf numFmtId="164" fontId="11" fillId="2" borderId="23" xfId="1" applyNumberFormat="1" applyFont="1" applyFill="1" applyBorder="1"/>
    <xf numFmtId="0" fontId="11" fillId="2" borderId="24" xfId="0" applyFont="1" applyFill="1" applyBorder="1"/>
    <xf numFmtId="164" fontId="11" fillId="2" borderId="24" xfId="1" applyNumberFormat="1" applyFont="1" applyFill="1" applyBorder="1"/>
    <xf numFmtId="0" fontId="0" fillId="6" borderId="0" xfId="0" applyFill="1"/>
    <xf numFmtId="0" fontId="1" fillId="6" borderId="2" xfId="0" applyFont="1" applyFill="1" applyBorder="1"/>
    <xf numFmtId="0" fontId="1" fillId="6" borderId="0" xfId="0" applyFont="1" applyFill="1"/>
    <xf numFmtId="164" fontId="0" fillId="6" borderId="0" xfId="1" applyNumberFormat="1" applyFont="1" applyFill="1"/>
    <xf numFmtId="164" fontId="2" fillId="6" borderId="20" xfId="0" applyNumberFormat="1" applyFont="1" applyFill="1" applyBorder="1"/>
    <xf numFmtId="164" fontId="2" fillId="6" borderId="0" xfId="0" applyNumberFormat="1" applyFont="1" applyFill="1"/>
    <xf numFmtId="164" fontId="12" fillId="6" borderId="0" xfId="1" applyNumberFormat="1" applyFont="1" applyFill="1"/>
    <xf numFmtId="0" fontId="12" fillId="6" borderId="0" xfId="0" applyFont="1" applyFill="1"/>
    <xf numFmtId="165" fontId="12" fillId="6" borderId="0" xfId="2" applyNumberFormat="1" applyFont="1" applyFill="1"/>
    <xf numFmtId="165" fontId="0" fillId="6" borderId="0" xfId="2" applyNumberFormat="1" applyFont="1" applyFill="1"/>
    <xf numFmtId="0" fontId="0" fillId="7" borderId="0" xfId="0" applyFill="1"/>
    <xf numFmtId="0" fontId="0" fillId="7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164" fontId="0" fillId="2" borderId="0" xfId="1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1" applyNumberFormat="1" applyFont="1" applyFill="1" applyBorder="1" applyAlignment="1"/>
    <xf numFmtId="0" fontId="0" fillId="2" borderId="0" xfId="0" applyFill="1" applyAlignment="1"/>
    <xf numFmtId="164" fontId="2" fillId="2" borderId="20" xfId="1" applyNumberFormat="1" applyFont="1" applyFill="1" applyBorder="1" applyAlignment="1">
      <alignment horizontal="right"/>
    </xf>
    <xf numFmtId="1" fontId="0" fillId="2" borderId="2" xfId="0" applyNumberFormat="1" applyFill="1" applyBorder="1"/>
    <xf numFmtId="1" fontId="1" fillId="2" borderId="20" xfId="0" applyNumberFormat="1" applyFont="1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5" fillId="2" borderId="0" xfId="0" applyFont="1" applyFill="1" applyBorder="1"/>
    <xf numFmtId="164" fontId="0" fillId="7" borderId="0" xfId="1" applyNumberFormat="1" applyFont="1" applyFill="1"/>
    <xf numFmtId="0" fontId="1" fillId="7" borderId="0" xfId="0" applyFont="1" applyFill="1"/>
    <xf numFmtId="0" fontId="0" fillId="7" borderId="0" xfId="0" applyFill="1" applyBorder="1" applyAlignment="1">
      <alignment horizontal="center"/>
    </xf>
    <xf numFmtId="164" fontId="1" fillId="7" borderId="0" xfId="1" applyNumberFormat="1" applyFont="1" applyFill="1"/>
    <xf numFmtId="164" fontId="9" fillId="7" borderId="20" xfId="1" applyNumberFormat="1" applyFont="1" applyFill="1" applyBorder="1"/>
    <xf numFmtId="164" fontId="9" fillId="7" borderId="0" xfId="1" applyNumberFormat="1" applyFont="1" applyFill="1"/>
    <xf numFmtId="164" fontId="9" fillId="7" borderId="0" xfId="1" applyNumberFormat="1" applyFont="1" applyFill="1" applyBorder="1"/>
    <xf numFmtId="164" fontId="13" fillId="7" borderId="20" xfId="1" applyNumberFormat="1" applyFont="1" applyFill="1" applyBorder="1"/>
    <xf numFmtId="164" fontId="13" fillId="7" borderId="0" xfId="1" applyNumberFormat="1" applyFont="1" applyFill="1" applyBorder="1"/>
    <xf numFmtId="164" fontId="13" fillId="7" borderId="0" xfId="1" applyNumberFormat="1" applyFont="1" applyFill="1"/>
    <xf numFmtId="164" fontId="0" fillId="7" borderId="14" xfId="1" applyNumberFormat="1" applyFont="1" applyFill="1" applyBorder="1"/>
    <xf numFmtId="164" fontId="2" fillId="7" borderId="20" xfId="1" applyNumberFormat="1" applyFont="1" applyFill="1" applyBorder="1"/>
    <xf numFmtId="164" fontId="3" fillId="7" borderId="0" xfId="1" applyNumberFormat="1" applyFont="1" applyFill="1"/>
    <xf numFmtId="164" fontId="0" fillId="2" borderId="18" xfId="1" applyNumberFormat="1" applyFont="1" applyFill="1" applyBorder="1"/>
    <xf numFmtId="164" fontId="0" fillId="2" borderId="0" xfId="1" applyNumberFormat="1" applyFont="1" applyFill="1"/>
    <xf numFmtId="164" fontId="1" fillId="2" borderId="20" xfId="1" applyNumberFormat="1" applyFont="1" applyFill="1" applyBorder="1"/>
    <xf numFmtId="165" fontId="1" fillId="2" borderId="20" xfId="2" applyNumberFormat="1" applyFont="1" applyFill="1" applyBorder="1"/>
    <xf numFmtId="165" fontId="0" fillId="2" borderId="0" xfId="2" applyNumberFormat="1" applyFont="1" applyFill="1" applyBorder="1"/>
    <xf numFmtId="0" fontId="1" fillId="2" borderId="17" xfId="0" applyFont="1" applyFill="1" applyBorder="1"/>
    <xf numFmtId="164" fontId="0" fillId="2" borderId="24" xfId="0" applyNumberFormat="1" applyFill="1" applyBorder="1"/>
    <xf numFmtId="0" fontId="1" fillId="2" borderId="24" xfId="0" applyFont="1" applyFill="1" applyBorder="1"/>
    <xf numFmtId="164" fontId="1" fillId="2" borderId="24" xfId="1" applyNumberFormat="1" applyFont="1" applyFill="1" applyBorder="1"/>
    <xf numFmtId="1" fontId="0" fillId="2" borderId="24" xfId="0" applyNumberFormat="1" applyFill="1" applyBorder="1"/>
    <xf numFmtId="1" fontId="0" fillId="2" borderId="0" xfId="1" applyNumberFormat="1" applyFont="1" applyFill="1"/>
    <xf numFmtId="1" fontId="15" fillId="2" borderId="0" xfId="1" applyNumberFormat="1" applyFont="1" applyFill="1" applyAlignment="1">
      <alignment horizontal="center"/>
    </xf>
    <xf numFmtId="1" fontId="14" fillId="2" borderId="0" xfId="1" applyNumberFormat="1" applyFont="1" applyFill="1" applyAlignment="1">
      <alignment horizontal="center"/>
    </xf>
    <xf numFmtId="1" fontId="8" fillId="4" borderId="16" xfId="1" applyNumberFormat="1" applyFont="1" applyFill="1" applyBorder="1" applyAlignment="1"/>
    <xf numFmtId="1" fontId="4" fillId="4" borderId="0" xfId="1" applyNumberFormat="1" applyFont="1" applyFill="1" applyBorder="1" applyAlignment="1">
      <alignment horizontal="center"/>
    </xf>
    <xf numFmtId="1" fontId="0" fillId="2" borderId="0" xfId="1" applyNumberFormat="1" applyFont="1" applyFill="1" applyAlignment="1">
      <alignment horizontal="center"/>
    </xf>
    <xf numFmtId="1" fontId="2" fillId="2" borderId="25" xfId="1" applyNumberFormat="1" applyFont="1" applyFill="1" applyBorder="1"/>
    <xf numFmtId="1" fontId="0" fillId="2" borderId="24" xfId="1" applyNumberFormat="1" applyFont="1" applyFill="1" applyBorder="1"/>
    <xf numFmtId="1" fontId="2" fillId="2" borderId="24" xfId="1" applyNumberFormat="1" applyFont="1" applyFill="1" applyBorder="1"/>
    <xf numFmtId="1" fontId="2" fillId="2" borderId="4" xfId="1" applyNumberFormat="1" applyFont="1" applyFill="1" applyBorder="1"/>
    <xf numFmtId="1" fontId="0" fillId="5" borderId="0" xfId="1" applyNumberFormat="1" applyFont="1" applyFill="1"/>
    <xf numFmtId="1" fontId="0" fillId="2" borderId="17" xfId="1" applyNumberFormat="1" applyFont="1" applyFill="1" applyBorder="1"/>
    <xf numFmtId="1" fontId="0" fillId="2" borderId="0" xfId="1" applyNumberFormat="1" applyFont="1" applyFill="1" applyBorder="1"/>
    <xf numFmtId="1" fontId="0" fillId="2" borderId="18" xfId="1" applyNumberFormat="1" applyFont="1" applyFill="1" applyBorder="1"/>
    <xf numFmtId="1" fontId="0" fillId="2" borderId="22" xfId="1" applyNumberFormat="1" applyFont="1" applyFill="1" applyBorder="1"/>
    <xf numFmtId="1" fontId="1" fillId="5" borderId="2" xfId="1" applyNumberFormat="1" applyFont="1" applyFill="1" applyBorder="1"/>
    <xf numFmtId="1" fontId="1" fillId="5" borderId="0" xfId="1" applyNumberFormat="1" applyFont="1" applyFill="1"/>
    <xf numFmtId="1" fontId="1" fillId="2" borderId="0" xfId="1" applyNumberFormat="1" applyFont="1" applyFill="1" applyBorder="1"/>
    <xf numFmtId="1" fontId="11" fillId="2" borderId="24" xfId="1" applyNumberFormat="1" applyFont="1" applyFill="1" applyBorder="1"/>
    <xf numFmtId="1" fontId="3" fillId="2" borderId="24" xfId="1" applyNumberFormat="1" applyFont="1" applyFill="1" applyBorder="1"/>
    <xf numFmtId="1" fontId="0" fillId="2" borderId="23" xfId="1" applyNumberFormat="1" applyFont="1" applyFill="1" applyBorder="1"/>
    <xf numFmtId="1" fontId="0" fillId="2" borderId="19" xfId="1" applyNumberFormat="1" applyFont="1" applyFill="1" applyBorder="1"/>
    <xf numFmtId="1" fontId="0" fillId="2" borderId="2" xfId="1" applyNumberFormat="1" applyFont="1" applyFill="1" applyBorder="1"/>
    <xf numFmtId="1" fontId="0" fillId="2" borderId="26" xfId="1" applyNumberFormat="1" applyFont="1" applyFill="1" applyBorder="1"/>
    <xf numFmtId="1" fontId="0" fillId="2" borderId="4" xfId="1" applyNumberFormat="1" applyFont="1" applyFill="1" applyBorder="1"/>
    <xf numFmtId="1" fontId="0" fillId="2" borderId="0" xfId="1" applyNumberFormat="1" applyFont="1" applyFill="1" applyBorder="1" applyAlignment="1">
      <alignment horizontal="left"/>
    </xf>
    <xf numFmtId="1" fontId="0" fillId="2" borderId="0" xfId="1" applyNumberFormat="1" applyFont="1" applyFill="1" applyBorder="1" applyAlignment="1"/>
    <xf numFmtId="1" fontId="0" fillId="2" borderId="2" xfId="1" applyNumberFormat="1" applyFont="1" applyFill="1" applyBorder="1" applyAlignment="1"/>
    <xf numFmtId="1" fontId="1" fillId="2" borderId="20" xfId="1" applyNumberFormat="1" applyFont="1" applyFill="1" applyBorder="1"/>
    <xf numFmtId="1" fontId="0" fillId="2" borderId="5" xfId="1" applyNumberFormat="1" applyFont="1" applyFill="1" applyBorder="1"/>
    <xf numFmtId="1" fontId="9" fillId="5" borderId="20" xfId="1" applyNumberFormat="1" applyFont="1" applyFill="1" applyBorder="1"/>
    <xf numFmtId="1" fontId="9" fillId="5" borderId="0" xfId="1" applyNumberFormat="1" applyFont="1" applyFill="1"/>
    <xf numFmtId="1" fontId="0" fillId="2" borderId="0" xfId="1" applyNumberFormat="1" applyFont="1" applyFill="1" applyBorder="1" applyAlignment="1">
      <alignment horizontal="center"/>
    </xf>
    <xf numFmtId="1" fontId="2" fillId="2" borderId="20" xfId="1" applyNumberFormat="1" applyFont="1" applyFill="1" applyBorder="1"/>
    <xf numFmtId="1" fontId="1" fillId="2" borderId="0" xfId="1" applyNumberFormat="1" applyFont="1" applyFill="1"/>
    <xf numFmtId="1" fontId="5" fillId="0" borderId="3" xfId="1" applyNumberFormat="1" applyFont="1" applyBorder="1"/>
    <xf numFmtId="1" fontId="16" fillId="2" borderId="14" xfId="1" applyNumberFormat="1" applyFont="1" applyFill="1" applyBorder="1"/>
    <xf numFmtId="1" fontId="3" fillId="2" borderId="14" xfId="1" applyNumberFormat="1" applyFont="1" applyFill="1" applyBorder="1"/>
    <xf numFmtId="1" fontId="5" fillId="2" borderId="0" xfId="1" applyNumberFormat="1" applyFont="1" applyFill="1" applyBorder="1" applyAlignment="1">
      <alignment horizontal="center"/>
    </xf>
    <xf numFmtId="1" fontId="5" fillId="2" borderId="18" xfId="1" applyNumberFormat="1" applyFont="1" applyFill="1" applyBorder="1" applyAlignment="1">
      <alignment horizontal="center"/>
    </xf>
    <xf numFmtId="1" fontId="4" fillId="4" borderId="16" xfId="1" applyNumberFormat="1" applyFont="1" applyFill="1" applyBorder="1" applyAlignment="1">
      <alignment horizontal="center"/>
    </xf>
    <xf numFmtId="1" fontId="4" fillId="4" borderId="0" xfId="1" applyNumberFormat="1" applyFont="1" applyFill="1" applyBorder="1" applyAlignment="1">
      <alignment horizontal="center"/>
    </xf>
    <xf numFmtId="1" fontId="4" fillId="4" borderId="18" xfId="1" applyNumberFormat="1" applyFont="1" applyFill="1" applyBorder="1" applyAlignment="1">
      <alignment horizontal="center"/>
    </xf>
    <xf numFmtId="1" fontId="0" fillId="2" borderId="0" xfId="1" applyNumberFormat="1" applyFont="1" applyFill="1" applyBorder="1" applyAlignment="1">
      <alignment horizontal="left"/>
    </xf>
    <xf numFmtId="164" fontId="1" fillId="2" borderId="24" xfId="1" applyNumberFormat="1" applyFont="1" applyFill="1" applyBorder="1" applyAlignment="1">
      <alignment horizontal="right"/>
    </xf>
    <xf numFmtId="1" fontId="0" fillId="8" borderId="0" xfId="1" applyNumberFormat="1" applyFont="1" applyFill="1"/>
    <xf numFmtId="1" fontId="1" fillId="8" borderId="2" xfId="1" applyNumberFormat="1" applyFont="1" applyFill="1" applyBorder="1"/>
    <xf numFmtId="1" fontId="1" fillId="8" borderId="0" xfId="1" applyNumberFormat="1" applyFont="1" applyFill="1"/>
    <xf numFmtId="1" fontId="0" fillId="8" borderId="0" xfId="1" applyNumberFormat="1" applyFont="1" applyFill="1" applyAlignment="1">
      <alignment horizontal="center"/>
    </xf>
    <xf numFmtId="1" fontId="9" fillId="8" borderId="20" xfId="1" applyNumberFormat="1" applyFont="1" applyFill="1" applyBorder="1"/>
    <xf numFmtId="1" fontId="9" fillId="8" borderId="0" xfId="1" applyNumberFormat="1" applyFont="1" applyFill="1"/>
    <xf numFmtId="0" fontId="0" fillId="8" borderId="0" xfId="0" applyFill="1"/>
    <xf numFmtId="1" fontId="17" fillId="2" borderId="20" xfId="1" applyNumberFormat="1" applyFont="1" applyFill="1" applyBorder="1"/>
    <xf numFmtId="1" fontId="5" fillId="2" borderId="17" xfId="1" applyNumberFormat="1" applyFont="1" applyFill="1" applyBorder="1" applyAlignment="1">
      <alignment horizontal="right"/>
    </xf>
    <xf numFmtId="1" fontId="0" fillId="2" borderId="17" xfId="1" applyNumberFormat="1" applyFont="1" applyFill="1" applyBorder="1" applyAlignment="1">
      <alignment horizontal="right"/>
    </xf>
    <xf numFmtId="0" fontId="13" fillId="2" borderId="27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1" fontId="7" fillId="4" borderId="15" xfId="1" applyNumberFormat="1" applyFont="1" applyFill="1" applyBorder="1" applyAlignment="1">
      <alignment horizontal="center"/>
    </xf>
    <xf numFmtId="1" fontId="7" fillId="4" borderId="14" xfId="1" applyNumberFormat="1" applyFont="1" applyFill="1" applyBorder="1" applyAlignment="1">
      <alignment horizontal="center"/>
    </xf>
    <xf numFmtId="1" fontId="7" fillId="4" borderId="16" xfId="1" applyNumberFormat="1" applyFont="1" applyFill="1" applyBorder="1" applyAlignment="1">
      <alignment horizontal="center"/>
    </xf>
    <xf numFmtId="1" fontId="7" fillId="4" borderId="19" xfId="1" applyNumberFormat="1" applyFont="1" applyFill="1" applyBorder="1" applyAlignment="1">
      <alignment horizontal="right"/>
    </xf>
    <xf numFmtId="1" fontId="7" fillId="4" borderId="2" xfId="1" applyNumberFormat="1" applyFont="1" applyFill="1" applyBorder="1" applyAlignment="1">
      <alignment horizontal="right"/>
    </xf>
    <xf numFmtId="1" fontId="7" fillId="4" borderId="5" xfId="1" applyNumberFormat="1" applyFont="1" applyFill="1" applyBorder="1" applyAlignment="1">
      <alignment horizontal="right"/>
    </xf>
    <xf numFmtId="1" fontId="0" fillId="2" borderId="26" xfId="1" applyNumberFormat="1" applyFont="1" applyFill="1" applyBorder="1" applyAlignment="1">
      <alignment horizontal="center"/>
    </xf>
    <xf numFmtId="1" fontId="0" fillId="2" borderId="3" xfId="1" applyNumberFormat="1" applyFont="1" applyFill="1" applyBorder="1" applyAlignment="1">
      <alignment horizontal="center"/>
    </xf>
    <xf numFmtId="1" fontId="0" fillId="2" borderId="4" xfId="1" applyNumberFormat="1" applyFont="1" applyFill="1" applyBorder="1" applyAlignment="1">
      <alignment horizontal="center"/>
    </xf>
    <xf numFmtId="1" fontId="4" fillId="4" borderId="0" xfId="1" applyNumberFormat="1" applyFont="1" applyFill="1" applyBorder="1" applyAlignment="1">
      <alignment horizontal="center"/>
    </xf>
    <xf numFmtId="1" fontId="4" fillId="4" borderId="18" xfId="1" applyNumberFormat="1" applyFont="1" applyFill="1" applyBorder="1" applyAlignment="1">
      <alignment horizontal="center"/>
    </xf>
    <xf numFmtId="1" fontId="4" fillId="4" borderId="16" xfId="1" applyNumberFormat="1" applyFont="1" applyFill="1" applyBorder="1" applyAlignment="1">
      <alignment horizontal="center"/>
    </xf>
    <xf numFmtId="1" fontId="0" fillId="2" borderId="0" xfId="1" applyNumberFormat="1" applyFont="1" applyFill="1" applyBorder="1" applyAlignment="1">
      <alignment horizontal="left"/>
    </xf>
    <xf numFmtId="1" fontId="5" fillId="2" borderId="0" xfId="1" applyNumberFormat="1" applyFont="1" applyFill="1" applyBorder="1" applyAlignment="1">
      <alignment horizontal="center"/>
    </xf>
    <xf numFmtId="1" fontId="5" fillId="2" borderId="18" xfId="1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8" fillId="4" borderId="26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" fontId="5" fillId="2" borderId="17" xfId="1" applyNumberFormat="1" applyFont="1" applyFill="1" applyBorder="1" applyAlignment="1">
      <alignment horizontal="center"/>
    </xf>
    <xf numFmtId="1" fontId="5" fillId="2" borderId="0" xfId="1" applyNumberFormat="1" applyFont="1" applyFill="1" applyBorder="1" applyAlignment="1">
      <alignment horizontal="center"/>
    </xf>
    <xf numFmtId="1" fontId="5" fillId="2" borderId="18" xfId="1" applyNumberFormat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/>
    </xf>
    <xf numFmtId="1" fontId="4" fillId="4" borderId="14" xfId="1" applyNumberFormat="1" applyFont="1" applyFill="1" applyBorder="1" applyAlignment="1">
      <alignment horizontal="center"/>
    </xf>
    <xf numFmtId="1" fontId="4" fillId="4" borderId="16" xfId="1" applyNumberFormat="1" applyFont="1" applyFill="1" applyBorder="1" applyAlignment="1">
      <alignment horizontal="center"/>
    </xf>
    <xf numFmtId="1" fontId="4" fillId="4" borderId="17" xfId="1" applyNumberFormat="1" applyFont="1" applyFill="1" applyBorder="1" applyAlignment="1">
      <alignment horizontal="center"/>
    </xf>
    <xf numFmtId="1" fontId="4" fillId="4" borderId="0" xfId="1" applyNumberFormat="1" applyFont="1" applyFill="1" applyBorder="1" applyAlignment="1">
      <alignment horizontal="center"/>
    </xf>
    <xf numFmtId="1" fontId="4" fillId="4" borderId="18" xfId="1" applyNumberFormat="1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1" fontId="0" fillId="2" borderId="0" xfId="1" applyNumberFormat="1" applyFont="1" applyFill="1" applyBorder="1" applyAlignment="1">
      <alignment horizontal="left"/>
    </xf>
    <xf numFmtId="1" fontId="8" fillId="4" borderId="26" xfId="1" applyNumberFormat="1" applyFont="1" applyFill="1" applyBorder="1" applyAlignment="1">
      <alignment horizontal="center"/>
    </xf>
    <xf numFmtId="1" fontId="8" fillId="4" borderId="3" xfId="1" applyNumberFormat="1" applyFont="1" applyFill="1" applyBorder="1" applyAlignment="1">
      <alignment horizontal="center"/>
    </xf>
    <xf numFmtId="1" fontId="7" fillId="4" borderId="19" xfId="1" applyNumberFormat="1" applyFont="1" applyFill="1" applyBorder="1" applyAlignment="1">
      <alignment horizontal="right"/>
    </xf>
    <xf numFmtId="1" fontId="7" fillId="4" borderId="2" xfId="1" applyNumberFormat="1" applyFont="1" applyFill="1" applyBorder="1" applyAlignment="1">
      <alignment horizontal="right"/>
    </xf>
    <xf numFmtId="1" fontId="7" fillId="4" borderId="5" xfId="1" applyNumberFormat="1" applyFont="1" applyFill="1" applyBorder="1" applyAlignment="1">
      <alignment horizontal="right"/>
    </xf>
    <xf numFmtId="1" fontId="7" fillId="4" borderId="15" xfId="1" applyNumberFormat="1" applyFont="1" applyFill="1" applyBorder="1" applyAlignment="1">
      <alignment horizontal="center"/>
    </xf>
    <xf numFmtId="1" fontId="7" fillId="4" borderId="14" xfId="1" applyNumberFormat="1" applyFont="1" applyFill="1" applyBorder="1" applyAlignment="1">
      <alignment horizontal="center"/>
    </xf>
    <xf numFmtId="1" fontId="7" fillId="4" borderId="16" xfId="1" applyNumberFormat="1" applyFont="1" applyFill="1" applyBorder="1" applyAlignment="1">
      <alignment horizontal="center"/>
    </xf>
    <xf numFmtId="1" fontId="7" fillId="4" borderId="17" xfId="1" applyNumberFormat="1" applyFont="1" applyFill="1" applyBorder="1" applyAlignment="1">
      <alignment horizontal="center"/>
    </xf>
    <xf numFmtId="1" fontId="7" fillId="4" borderId="0" xfId="1" applyNumberFormat="1" applyFont="1" applyFill="1" applyBorder="1" applyAlignment="1">
      <alignment horizontal="center"/>
    </xf>
    <xf numFmtId="1" fontId="0" fillId="5" borderId="0" xfId="1" applyNumberFormat="1" applyFont="1" applyFill="1" applyAlignment="1">
      <alignment horizontal="center"/>
    </xf>
    <xf numFmtId="1" fontId="0" fillId="2" borderId="26" xfId="1" applyNumberFormat="1" applyFont="1" applyFill="1" applyBorder="1" applyAlignment="1">
      <alignment horizontal="center"/>
    </xf>
    <xf numFmtId="1" fontId="0" fillId="2" borderId="3" xfId="1" applyNumberFormat="1" applyFont="1" applyFill="1" applyBorder="1" applyAlignment="1">
      <alignment horizontal="center"/>
    </xf>
    <xf numFmtId="1" fontId="0" fillId="2" borderId="4" xfId="1" applyNumberFormat="1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right"/>
    </xf>
    <xf numFmtId="1" fontId="3" fillId="2" borderId="22" xfId="1" applyNumberFormat="1" applyFont="1" applyFill="1" applyBorder="1"/>
    <xf numFmtId="0" fontId="0" fillId="2" borderId="24" xfId="0" applyFont="1" applyFill="1" applyBorder="1"/>
    <xf numFmtId="164" fontId="3" fillId="2" borderId="24" xfId="1" applyNumberFormat="1" applyFont="1" applyFill="1" applyBorder="1"/>
    <xf numFmtId="1" fontId="1" fillId="2" borderId="24" xfId="1" applyNumberFormat="1" applyFont="1" applyFill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F65"/>
  <sheetViews>
    <sheetView topLeftCell="N10" zoomScale="82" zoomScaleNormal="82" workbookViewId="0">
      <selection activeCell="U50" sqref="U50"/>
    </sheetView>
  </sheetViews>
  <sheetFormatPr defaultRowHeight="15" x14ac:dyDescent="0.25"/>
  <cols>
    <col min="1" max="1" width="3.42578125" style="1" customWidth="1"/>
    <col min="2" max="2" width="3" style="1" bestFit="1" customWidth="1"/>
    <col min="3" max="3" width="9.7109375" style="1" customWidth="1"/>
    <col min="4" max="4" width="1.85546875" style="1" customWidth="1"/>
    <col min="5" max="5" width="8.42578125" style="1" bestFit="1" customWidth="1"/>
    <col min="6" max="6" width="2" style="1" bestFit="1" customWidth="1"/>
    <col min="7" max="7" width="19.42578125" style="1" bestFit="1" customWidth="1"/>
    <col min="8" max="8" width="2" style="1" bestFit="1" customWidth="1"/>
    <col min="9" max="9" width="8.5703125" style="1" bestFit="1" customWidth="1"/>
    <col min="10" max="10" width="2" style="1" bestFit="1" customWidth="1"/>
    <col min="11" max="11" width="10.7109375" style="1" bestFit="1" customWidth="1"/>
    <col min="12" max="12" width="2" style="1" bestFit="1" customWidth="1"/>
    <col min="13" max="13" width="16.5703125" style="1" bestFit="1" customWidth="1"/>
    <col min="14" max="14" width="2" style="1" bestFit="1" customWidth="1"/>
    <col min="15" max="15" width="12.7109375" style="1" customWidth="1"/>
    <col min="16" max="16" width="1.7109375" style="1" bestFit="1" customWidth="1"/>
    <col min="17" max="17" width="9.140625" style="1"/>
    <col min="18" max="18" width="1.7109375" style="1" bestFit="1" customWidth="1"/>
    <col min="19" max="19" width="9.140625" style="1"/>
    <col min="20" max="20" width="1.7109375" style="1" bestFit="1" customWidth="1"/>
    <col min="21" max="21" width="9.140625" style="1"/>
    <col min="22" max="22" width="17.28515625" style="1" bestFit="1" customWidth="1"/>
    <col min="23" max="23" width="1.85546875" style="1" customWidth="1"/>
    <col min="24" max="24" width="4.5703125" style="1" customWidth="1"/>
    <col min="25" max="25" width="2.7109375" style="1" customWidth="1"/>
    <col min="26" max="26" width="28.5703125" style="1" bestFit="1" customWidth="1"/>
    <col min="27" max="29" width="9.140625" style="1"/>
    <col min="30" max="30" width="9.42578125" style="1" bestFit="1" customWidth="1"/>
    <col min="31" max="31" width="10.5703125" style="1" bestFit="1" customWidth="1"/>
    <col min="32" max="32" width="2.28515625" style="1" customWidth="1"/>
    <col min="33" max="16384" width="9.140625" style="1"/>
  </cols>
  <sheetData>
    <row r="1" spans="3:32" ht="15.75" thickBot="1" x14ac:dyDescent="0.3"/>
    <row r="2" spans="3:32" ht="16.5" thickBot="1" x14ac:dyDescent="0.3">
      <c r="C2" s="6"/>
      <c r="D2" s="7"/>
      <c r="E2" s="195"/>
      <c r="F2" s="195"/>
      <c r="G2" s="195"/>
      <c r="H2" s="195"/>
      <c r="I2" s="195"/>
      <c r="J2" s="195"/>
      <c r="K2" s="195"/>
      <c r="L2" s="7" t="s">
        <v>5</v>
      </c>
      <c r="M2" s="8" t="s">
        <v>8</v>
      </c>
      <c r="N2" s="7" t="s">
        <v>1</v>
      </c>
      <c r="O2" s="195" t="s">
        <v>9</v>
      </c>
      <c r="P2" s="195"/>
      <c r="Q2" s="195"/>
      <c r="R2" s="195"/>
      <c r="S2" s="195"/>
      <c r="T2" s="195"/>
      <c r="U2" s="195"/>
      <c r="V2" s="20"/>
      <c r="W2" s="9"/>
      <c r="Y2" s="192" t="s">
        <v>22</v>
      </c>
      <c r="Z2" s="193"/>
      <c r="AA2" s="193"/>
      <c r="AB2" s="193"/>
      <c r="AC2" s="193"/>
      <c r="AD2" s="193"/>
      <c r="AE2" s="193"/>
      <c r="AF2" s="194"/>
    </row>
    <row r="3" spans="3:32" ht="15.75" x14ac:dyDescent="0.25">
      <c r="C3" s="196" t="s">
        <v>6</v>
      </c>
      <c r="D3" s="197"/>
      <c r="E3" s="11" t="s">
        <v>0</v>
      </c>
      <c r="F3" s="11" t="s">
        <v>1</v>
      </c>
      <c r="G3" s="11" t="s">
        <v>2</v>
      </c>
      <c r="H3" s="11" t="s">
        <v>1</v>
      </c>
      <c r="I3" s="11" t="s">
        <v>3</v>
      </c>
      <c r="J3" s="11" t="s">
        <v>1</v>
      </c>
      <c r="K3" s="11" t="s">
        <v>4</v>
      </c>
      <c r="L3" s="11" t="s">
        <v>5</v>
      </c>
      <c r="M3" s="11" t="s">
        <v>7</v>
      </c>
      <c r="N3" s="11" t="s">
        <v>1</v>
      </c>
      <c r="O3" s="11" t="s">
        <v>10</v>
      </c>
      <c r="P3" s="11" t="s">
        <v>1</v>
      </c>
      <c r="Q3" s="11" t="s">
        <v>11</v>
      </c>
      <c r="R3" s="11" t="s">
        <v>12</v>
      </c>
      <c r="S3" s="11" t="s">
        <v>13</v>
      </c>
      <c r="T3" s="11" t="s">
        <v>12</v>
      </c>
      <c r="U3" s="11" t="s">
        <v>14</v>
      </c>
      <c r="V3" s="11"/>
      <c r="W3" s="12"/>
      <c r="Y3" s="199" t="s">
        <v>23</v>
      </c>
      <c r="Z3" s="200"/>
      <c r="AA3" s="200"/>
      <c r="AB3" s="200"/>
      <c r="AC3" s="200"/>
      <c r="AD3" s="200"/>
      <c r="AE3" s="200"/>
      <c r="AF3" s="201"/>
    </row>
    <row r="4" spans="3:32" ht="15.75" x14ac:dyDescent="0.25">
      <c r="C4" s="10">
        <v>1</v>
      </c>
      <c r="D4" s="11"/>
      <c r="E4" s="3">
        <v>15000</v>
      </c>
      <c r="F4" s="3"/>
      <c r="G4" s="3"/>
      <c r="H4" s="3"/>
      <c r="I4" s="3"/>
      <c r="J4" s="3"/>
      <c r="K4" s="3"/>
      <c r="L4" s="3"/>
      <c r="M4" s="3"/>
      <c r="N4" s="3"/>
      <c r="O4" s="3">
        <v>15000</v>
      </c>
      <c r="P4" s="3"/>
      <c r="Q4" s="3"/>
      <c r="R4" s="3"/>
      <c r="S4" s="3"/>
      <c r="T4" s="3"/>
      <c r="U4" s="4"/>
      <c r="V4" s="11" t="s">
        <v>15</v>
      </c>
      <c r="W4" s="12"/>
      <c r="Y4" s="199" t="s">
        <v>31</v>
      </c>
      <c r="Z4" s="200"/>
      <c r="AA4" s="200"/>
      <c r="AB4" s="200"/>
      <c r="AC4" s="200"/>
      <c r="AD4" s="200"/>
      <c r="AE4" s="200"/>
      <c r="AF4" s="201"/>
    </row>
    <row r="5" spans="3:32" x14ac:dyDescent="0.25">
      <c r="C5" s="10">
        <v>2</v>
      </c>
      <c r="D5" s="11"/>
      <c r="E5" s="3">
        <v>-7000</v>
      </c>
      <c r="F5" s="3"/>
      <c r="G5" s="3"/>
      <c r="H5" s="3"/>
      <c r="I5" s="3"/>
      <c r="J5" s="3"/>
      <c r="K5" s="3">
        <v>7000</v>
      </c>
      <c r="L5" s="3"/>
      <c r="M5" s="3"/>
      <c r="N5" s="3"/>
      <c r="O5" s="3"/>
      <c r="P5" s="3"/>
      <c r="Q5" s="3"/>
      <c r="R5" s="3"/>
      <c r="S5" s="3"/>
      <c r="T5" s="3"/>
      <c r="U5" s="4"/>
      <c r="V5" s="11"/>
      <c r="W5" s="12"/>
      <c r="Y5" s="24"/>
      <c r="Z5" s="17"/>
      <c r="AA5" s="17"/>
      <c r="AB5" s="17"/>
      <c r="AC5" s="17"/>
      <c r="AD5" s="17"/>
      <c r="AE5" s="17"/>
      <c r="AF5" s="25"/>
    </row>
    <row r="6" spans="3:32" x14ac:dyDescent="0.25">
      <c r="C6" s="10">
        <v>3</v>
      </c>
      <c r="D6" s="11"/>
      <c r="E6" s="3"/>
      <c r="F6" s="3"/>
      <c r="G6" s="3"/>
      <c r="H6" s="3"/>
      <c r="I6" s="3">
        <v>1600</v>
      </c>
      <c r="J6" s="3"/>
      <c r="K6" s="3"/>
      <c r="L6" s="3"/>
      <c r="M6" s="3">
        <v>1600</v>
      </c>
      <c r="N6" s="3"/>
      <c r="O6" s="3"/>
      <c r="P6" s="3"/>
      <c r="Q6" s="3"/>
      <c r="R6" s="3"/>
      <c r="S6" s="3"/>
      <c r="T6" s="3"/>
      <c r="U6" s="4"/>
      <c r="V6" s="11"/>
      <c r="W6" s="12"/>
      <c r="Y6" s="24"/>
      <c r="Z6" s="17" t="s">
        <v>24</v>
      </c>
      <c r="AA6" s="17"/>
      <c r="AB6" s="17"/>
      <c r="AC6" s="17"/>
      <c r="AD6" s="26"/>
      <c r="AE6" s="26">
        <f>Q16</f>
        <v>4700</v>
      </c>
      <c r="AF6" s="25"/>
    </row>
    <row r="7" spans="3:32" x14ac:dyDescent="0.25">
      <c r="C7" s="10">
        <v>4</v>
      </c>
      <c r="D7" s="11"/>
      <c r="E7" s="2">
        <v>1200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v>1200</v>
      </c>
      <c r="R7" s="2"/>
      <c r="S7" s="2"/>
      <c r="T7" s="2"/>
      <c r="U7" s="5"/>
      <c r="V7" s="11" t="s">
        <v>16</v>
      </c>
      <c r="W7" s="12"/>
      <c r="Y7" s="24"/>
      <c r="Z7" s="17" t="s">
        <v>16</v>
      </c>
      <c r="AA7" s="17"/>
      <c r="AB7" s="17"/>
      <c r="AC7" s="17"/>
      <c r="AD7" s="26"/>
      <c r="AE7" s="26"/>
      <c r="AF7" s="25"/>
    </row>
    <row r="8" spans="3:32" x14ac:dyDescent="0.25">
      <c r="C8" s="10">
        <v>5</v>
      </c>
      <c r="D8" s="11"/>
      <c r="E8" s="3"/>
      <c r="F8" s="3"/>
      <c r="G8" s="3"/>
      <c r="H8" s="3"/>
      <c r="I8" s="3"/>
      <c r="J8" s="3"/>
      <c r="K8" s="3"/>
      <c r="L8" s="3"/>
      <c r="M8" s="3">
        <v>250</v>
      </c>
      <c r="N8" s="3"/>
      <c r="O8" s="3"/>
      <c r="P8" s="3"/>
      <c r="Q8" s="3"/>
      <c r="R8" s="3"/>
      <c r="S8" s="3">
        <v>250</v>
      </c>
      <c r="T8" s="3"/>
      <c r="U8" s="4"/>
      <c r="V8" s="11" t="s">
        <v>17</v>
      </c>
      <c r="W8" s="12"/>
      <c r="Y8" s="24"/>
      <c r="Z8" s="17" t="s">
        <v>13</v>
      </c>
      <c r="AA8" s="17"/>
      <c r="AB8" s="17"/>
      <c r="AC8" s="17"/>
      <c r="AD8" s="26"/>
      <c r="AE8" s="26"/>
      <c r="AF8" s="25"/>
    </row>
    <row r="9" spans="3:32" x14ac:dyDescent="0.25">
      <c r="C9" s="10">
        <v>6</v>
      </c>
      <c r="D9" s="11"/>
      <c r="E9" s="3">
        <v>1500</v>
      </c>
      <c r="F9" s="3"/>
      <c r="G9" s="3">
        <v>2000</v>
      </c>
      <c r="H9" s="3"/>
      <c r="I9" s="3"/>
      <c r="J9" s="3"/>
      <c r="K9" s="3"/>
      <c r="L9" s="3"/>
      <c r="M9" s="3"/>
      <c r="N9" s="3"/>
      <c r="O9" s="3"/>
      <c r="P9" s="3"/>
      <c r="Q9" s="3">
        <v>3500</v>
      </c>
      <c r="R9" s="3"/>
      <c r="S9" s="3"/>
      <c r="T9" s="3"/>
      <c r="U9" s="4"/>
      <c r="V9" s="11" t="s">
        <v>16</v>
      </c>
      <c r="W9" s="12"/>
      <c r="Y9" s="24"/>
      <c r="Z9" s="17" t="s">
        <v>25</v>
      </c>
      <c r="AA9" s="17"/>
      <c r="AB9" s="17"/>
      <c r="AC9" s="17"/>
      <c r="AD9" s="26">
        <f>S11</f>
        <v>900</v>
      </c>
      <c r="AE9" s="26"/>
      <c r="AF9" s="25"/>
    </row>
    <row r="10" spans="3:32" x14ac:dyDescent="0.25">
      <c r="C10" s="10">
        <v>7</v>
      </c>
      <c r="D10" s="11"/>
      <c r="E10" s="2">
        <v>-1700</v>
      </c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>
        <v>600</v>
      </c>
      <c r="T10" s="2"/>
      <c r="U10" s="5"/>
      <c r="V10" s="11" t="s">
        <v>18</v>
      </c>
      <c r="W10" s="12"/>
      <c r="Y10" s="24"/>
      <c r="Z10" s="17" t="s">
        <v>18</v>
      </c>
      <c r="AA10" s="17"/>
      <c r="AB10" s="17"/>
      <c r="AC10" s="17"/>
      <c r="AD10" s="26">
        <f>S10</f>
        <v>600</v>
      </c>
      <c r="AE10" s="26"/>
      <c r="AF10" s="25"/>
    </row>
    <row r="11" spans="3:32" x14ac:dyDescent="0.25">
      <c r="C11" s="10"/>
      <c r="D11" s="1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900</v>
      </c>
      <c r="T11" s="3"/>
      <c r="U11" s="4"/>
      <c r="V11" s="11" t="s">
        <v>19</v>
      </c>
      <c r="W11" s="12"/>
      <c r="Y11" s="24"/>
      <c r="Z11" s="17" t="s">
        <v>26</v>
      </c>
      <c r="AA11" s="17"/>
      <c r="AB11" s="17"/>
      <c r="AC11" s="17"/>
      <c r="AD11" s="26">
        <f>S8</f>
        <v>250</v>
      </c>
      <c r="AE11" s="26"/>
      <c r="AF11" s="25"/>
    </row>
    <row r="12" spans="3:32" x14ac:dyDescent="0.25">
      <c r="C12" s="10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200</v>
      </c>
      <c r="T12" s="3"/>
      <c r="U12" s="4"/>
      <c r="V12" s="11" t="s">
        <v>20</v>
      </c>
      <c r="W12" s="12"/>
      <c r="Y12" s="24"/>
      <c r="Z12" s="17" t="s">
        <v>20</v>
      </c>
      <c r="AA12" s="17"/>
      <c r="AB12" s="17"/>
      <c r="AC12" s="17"/>
      <c r="AD12" s="22">
        <f>S12</f>
        <v>200</v>
      </c>
      <c r="AE12" s="26"/>
      <c r="AF12" s="25"/>
    </row>
    <row r="13" spans="3:32" x14ac:dyDescent="0.25">
      <c r="C13" s="10">
        <v>8</v>
      </c>
      <c r="D13" s="11"/>
      <c r="E13" s="2">
        <v>-250</v>
      </c>
      <c r="F13" s="2"/>
      <c r="G13" s="2"/>
      <c r="H13" s="2"/>
      <c r="I13" s="2"/>
      <c r="J13" s="2"/>
      <c r="K13" s="2"/>
      <c r="L13" s="2"/>
      <c r="M13" s="2">
        <v>-250</v>
      </c>
      <c r="N13" s="2"/>
      <c r="O13" s="2"/>
      <c r="P13" s="2"/>
      <c r="Q13" s="2"/>
      <c r="R13" s="2"/>
      <c r="S13" s="2"/>
      <c r="T13" s="2"/>
      <c r="U13" s="5"/>
      <c r="V13" s="11"/>
      <c r="W13" s="12"/>
      <c r="Y13" s="24"/>
      <c r="Z13" s="27" t="s">
        <v>27</v>
      </c>
      <c r="AA13" s="17"/>
      <c r="AB13" s="17"/>
      <c r="AC13" s="17"/>
      <c r="AD13" s="26"/>
      <c r="AE13" s="23">
        <f>SUM(AD9:AD12)</f>
        <v>1950</v>
      </c>
      <c r="AF13" s="25"/>
    </row>
    <row r="14" spans="3:32" ht="19.5" thickBot="1" x14ac:dyDescent="0.35">
      <c r="C14" s="10">
        <v>9</v>
      </c>
      <c r="D14" s="11"/>
      <c r="E14" s="3">
        <v>600</v>
      </c>
      <c r="F14" s="3"/>
      <c r="G14" s="3">
        <v>-600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11"/>
      <c r="W14" s="12"/>
      <c r="Y14" s="24"/>
      <c r="Z14" s="28" t="s">
        <v>28</v>
      </c>
      <c r="AA14" s="17"/>
      <c r="AB14" s="17"/>
      <c r="AC14" s="17"/>
      <c r="AD14" s="26"/>
      <c r="AE14" s="30">
        <f>AE6-AE13</f>
        <v>2750</v>
      </c>
      <c r="AF14" s="25"/>
    </row>
    <row r="15" spans="3:32" ht="15.75" thickTop="1" x14ac:dyDescent="0.25">
      <c r="C15" s="10">
        <v>10</v>
      </c>
      <c r="D15" s="11"/>
      <c r="E15" s="3">
        <v>-1300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4">
        <v>1300</v>
      </c>
      <c r="V15" s="11" t="s">
        <v>21</v>
      </c>
      <c r="W15" s="12"/>
      <c r="Y15" s="29"/>
      <c r="Z15" s="2"/>
      <c r="AA15" s="2"/>
      <c r="AB15" s="2"/>
      <c r="AC15" s="2"/>
      <c r="AD15" s="2"/>
      <c r="AE15" s="2"/>
      <c r="AF15" s="5"/>
    </row>
    <row r="16" spans="3:32" x14ac:dyDescent="0.25">
      <c r="C16" s="10"/>
      <c r="D16" s="11"/>
      <c r="E16" s="19">
        <f>SUM(E4:E15)</f>
        <v>8050</v>
      </c>
      <c r="F16" s="19" t="s">
        <v>1</v>
      </c>
      <c r="G16" s="19">
        <f>SUM(G4:G15)</f>
        <v>1400</v>
      </c>
      <c r="H16" s="19" t="s">
        <v>1</v>
      </c>
      <c r="I16" s="19">
        <f>SUM(I4:I15)</f>
        <v>1600</v>
      </c>
      <c r="J16" s="19" t="s">
        <v>1</v>
      </c>
      <c r="K16" s="19">
        <f>SUM(K4:K15)</f>
        <v>7000</v>
      </c>
      <c r="L16" s="17" t="s">
        <v>5</v>
      </c>
      <c r="M16" s="19">
        <f>SUM(M4:M15)</f>
        <v>1600</v>
      </c>
      <c r="N16" s="17" t="s">
        <v>1</v>
      </c>
      <c r="O16" s="19">
        <f>SUM(O4:O15)</f>
        <v>15000</v>
      </c>
      <c r="P16" s="19" t="s">
        <v>1</v>
      </c>
      <c r="Q16" s="19">
        <f>SUM(Q4:Q15)</f>
        <v>4700</v>
      </c>
      <c r="R16" s="19" t="s">
        <v>12</v>
      </c>
      <c r="S16" s="19">
        <f>SUM(S4:S15)</f>
        <v>1950</v>
      </c>
      <c r="T16" s="19" t="s">
        <v>12</v>
      </c>
      <c r="U16" s="19">
        <f>SUM(U4:U15)</f>
        <v>1300</v>
      </c>
      <c r="V16" s="16"/>
      <c r="W16" s="12"/>
    </row>
    <row r="17" spans="3:32" ht="18.75" x14ac:dyDescent="0.3">
      <c r="C17" s="10"/>
      <c r="D17" s="11"/>
      <c r="E17" s="198">
        <f>E16+G16+I16+K16</f>
        <v>18050</v>
      </c>
      <c r="F17" s="198"/>
      <c r="G17" s="198"/>
      <c r="H17" s="198"/>
      <c r="I17" s="198"/>
      <c r="J17" s="198"/>
      <c r="K17" s="198"/>
      <c r="L17" s="17" t="s">
        <v>5</v>
      </c>
      <c r="M17" s="18">
        <f>M16</f>
        <v>1600</v>
      </c>
      <c r="N17" s="17" t="s">
        <v>1</v>
      </c>
      <c r="O17" s="198">
        <f>M17+O16+Q16-S16-U16</f>
        <v>18050</v>
      </c>
      <c r="P17" s="198"/>
      <c r="Q17" s="198"/>
      <c r="R17" s="198"/>
      <c r="S17" s="198"/>
      <c r="T17" s="198"/>
      <c r="U17" s="198"/>
      <c r="V17" s="21"/>
      <c r="W17" s="12"/>
      <c r="Y17" s="192" t="s">
        <v>22</v>
      </c>
      <c r="Z17" s="193"/>
      <c r="AA17" s="193"/>
      <c r="AB17" s="193"/>
      <c r="AC17" s="193"/>
      <c r="AD17" s="193"/>
      <c r="AE17" s="193"/>
      <c r="AF17" s="194"/>
    </row>
    <row r="18" spans="3:32" ht="16.5" thickBot="1" x14ac:dyDescent="0.3"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Y18" s="199" t="s">
        <v>29</v>
      </c>
      <c r="Z18" s="200"/>
      <c r="AA18" s="200"/>
      <c r="AB18" s="200"/>
      <c r="AC18" s="200"/>
      <c r="AD18" s="200"/>
      <c r="AE18" s="200"/>
      <c r="AF18" s="201"/>
    </row>
    <row r="19" spans="3:32" ht="15.75" x14ac:dyDescent="0.25">
      <c r="Y19" s="199" t="s">
        <v>30</v>
      </c>
      <c r="Z19" s="200"/>
      <c r="AA19" s="200"/>
      <c r="AB19" s="200"/>
      <c r="AC19" s="200"/>
      <c r="AD19" s="200"/>
      <c r="AE19" s="200"/>
      <c r="AF19" s="201"/>
    </row>
    <row r="20" spans="3:32" x14ac:dyDescent="0.25">
      <c r="Y20" s="24"/>
      <c r="Z20" s="17"/>
      <c r="AA20" s="17"/>
      <c r="AB20" s="17"/>
      <c r="AC20" s="17"/>
      <c r="AD20" s="17"/>
      <c r="AE20" s="17"/>
      <c r="AF20" s="25"/>
    </row>
    <row r="21" spans="3:32" x14ac:dyDescent="0.25">
      <c r="Y21" s="24"/>
      <c r="Z21" s="17" t="s">
        <v>32</v>
      </c>
      <c r="AA21" s="17"/>
      <c r="AB21" s="17"/>
      <c r="AC21" s="17"/>
      <c r="AD21" s="17"/>
      <c r="AE21" s="31">
        <v>0</v>
      </c>
      <c r="AF21" s="25"/>
    </row>
    <row r="22" spans="3:32" x14ac:dyDescent="0.25">
      <c r="Y22" s="24"/>
      <c r="Z22" s="17" t="s">
        <v>33</v>
      </c>
      <c r="AA22" s="17"/>
      <c r="AB22" s="17"/>
      <c r="AC22" s="17"/>
      <c r="AD22" s="17"/>
      <c r="AE22" s="32">
        <f>AE14</f>
        <v>2750</v>
      </c>
      <c r="AF22" s="25"/>
    </row>
    <row r="23" spans="3:32" x14ac:dyDescent="0.25">
      <c r="Y23" s="24"/>
      <c r="Z23" s="17"/>
      <c r="AA23" s="17"/>
      <c r="AB23" s="17"/>
      <c r="AC23" s="17"/>
      <c r="AD23" s="17"/>
      <c r="AE23" s="33">
        <f>AE21+AE22</f>
        <v>2750</v>
      </c>
      <c r="AF23" s="25"/>
    </row>
    <row r="24" spans="3:32" x14ac:dyDescent="0.25">
      <c r="Y24" s="24"/>
      <c r="Z24" s="17" t="s">
        <v>34</v>
      </c>
      <c r="AA24" s="17"/>
      <c r="AB24" s="17"/>
      <c r="AC24" s="17"/>
      <c r="AD24" s="17"/>
      <c r="AE24" s="34">
        <f>U16</f>
        <v>1300</v>
      </c>
      <c r="AF24" s="25"/>
    </row>
    <row r="25" spans="3:32" ht="19.5" thickBot="1" x14ac:dyDescent="0.35">
      <c r="Y25" s="24"/>
      <c r="Z25" s="17" t="s">
        <v>35</v>
      </c>
      <c r="AA25" s="17"/>
      <c r="AB25" s="17"/>
      <c r="AC25" s="17"/>
      <c r="AD25" s="17"/>
      <c r="AE25" s="35">
        <f>AE23-AE24</f>
        <v>1450</v>
      </c>
      <c r="AF25" s="25"/>
    </row>
    <row r="26" spans="3:32" ht="15.75" thickTop="1" x14ac:dyDescent="0.25">
      <c r="Y26" s="29"/>
      <c r="Z26" s="2"/>
      <c r="AA26" s="2"/>
      <c r="AB26" s="2"/>
      <c r="AC26" s="2"/>
      <c r="AD26" s="2"/>
      <c r="AE26" s="2"/>
      <c r="AF26" s="5"/>
    </row>
    <row r="27" spans="3:32" ht="8.25" customHeight="1" x14ac:dyDescent="0.25"/>
    <row r="28" spans="3:32" ht="15.75" x14ac:dyDescent="0.25">
      <c r="Y28" s="192" t="s">
        <v>22</v>
      </c>
      <c r="Z28" s="193"/>
      <c r="AA28" s="193"/>
      <c r="AB28" s="193"/>
      <c r="AC28" s="193"/>
      <c r="AD28" s="193"/>
      <c r="AE28" s="193"/>
      <c r="AF28" s="194"/>
    </row>
    <row r="29" spans="3:32" ht="15.75" x14ac:dyDescent="0.25">
      <c r="Y29" s="199" t="s">
        <v>40</v>
      </c>
      <c r="Z29" s="200"/>
      <c r="AA29" s="200"/>
      <c r="AB29" s="200"/>
      <c r="AC29" s="200"/>
      <c r="AD29" s="200"/>
      <c r="AE29" s="200"/>
      <c r="AF29" s="201"/>
    </row>
    <row r="30" spans="3:32" ht="15.75" x14ac:dyDescent="0.25">
      <c r="Y30" s="199" t="s">
        <v>30</v>
      </c>
      <c r="Z30" s="200"/>
      <c r="AA30" s="200"/>
      <c r="AB30" s="200"/>
      <c r="AC30" s="200"/>
      <c r="AD30" s="200"/>
      <c r="AE30" s="200"/>
      <c r="AF30" s="201"/>
    </row>
    <row r="31" spans="3:32" ht="15.75" x14ac:dyDescent="0.25">
      <c r="Y31" s="204" t="s">
        <v>39</v>
      </c>
      <c r="Z31" s="202"/>
      <c r="AA31" s="202"/>
      <c r="AB31" s="202"/>
      <c r="AC31" s="202"/>
      <c r="AD31" s="202"/>
      <c r="AE31" s="202"/>
      <c r="AF31" s="203"/>
    </row>
    <row r="32" spans="3:32" x14ac:dyDescent="0.25">
      <c r="Y32" s="24"/>
      <c r="Z32" s="17" t="str">
        <f>K3</f>
        <v>Equipment</v>
      </c>
      <c r="AA32" s="17"/>
      <c r="AB32" s="17"/>
      <c r="AC32" s="17"/>
      <c r="AD32" s="17"/>
      <c r="AE32" s="17">
        <f>K16</f>
        <v>7000</v>
      </c>
      <c r="AF32" s="25"/>
    </row>
    <row r="33" spans="25:32" x14ac:dyDescent="0.25">
      <c r="Y33" s="24"/>
      <c r="Z33" s="17" t="str">
        <f>I3</f>
        <v>Supplies</v>
      </c>
      <c r="AA33" s="17"/>
      <c r="AB33" s="17"/>
      <c r="AC33" s="17"/>
      <c r="AD33" s="17"/>
      <c r="AE33" s="17">
        <f>I16</f>
        <v>1600</v>
      </c>
      <c r="AF33" s="25"/>
    </row>
    <row r="34" spans="25:32" x14ac:dyDescent="0.25">
      <c r="Y34" s="24"/>
      <c r="Z34" s="17" t="str">
        <f>G3</f>
        <v>Accounts Receivable</v>
      </c>
      <c r="AA34" s="17"/>
      <c r="AB34" s="17"/>
      <c r="AC34" s="17"/>
      <c r="AD34" s="17"/>
      <c r="AE34" s="17">
        <f>G16</f>
        <v>1400</v>
      </c>
      <c r="AF34" s="25"/>
    </row>
    <row r="35" spans="25:32" x14ac:dyDescent="0.25">
      <c r="Y35" s="24"/>
      <c r="Z35" s="17" t="str">
        <f>E3</f>
        <v>Cash</v>
      </c>
      <c r="AA35" s="17"/>
      <c r="AB35" s="17"/>
      <c r="AC35" s="17"/>
      <c r="AD35" s="17"/>
      <c r="AE35" s="17">
        <f>E16</f>
        <v>8050</v>
      </c>
      <c r="AF35" s="25"/>
    </row>
    <row r="36" spans="25:32" ht="19.5" thickBot="1" x14ac:dyDescent="0.35">
      <c r="Y36" s="24"/>
      <c r="Z36" s="27" t="s">
        <v>36</v>
      </c>
      <c r="AA36" s="17"/>
      <c r="AB36" s="17"/>
      <c r="AC36" s="17"/>
      <c r="AD36" s="17"/>
      <c r="AE36" s="40">
        <f>SUM(AE32:AE35)</f>
        <v>18050</v>
      </c>
      <c r="AF36" s="25"/>
    </row>
    <row r="37" spans="25:32" ht="16.5" thickTop="1" x14ac:dyDescent="0.25">
      <c r="Y37" s="24"/>
      <c r="Z37" s="202" t="s">
        <v>37</v>
      </c>
      <c r="AA37" s="202"/>
      <c r="AB37" s="202"/>
      <c r="AC37" s="202"/>
      <c r="AD37" s="202"/>
      <c r="AE37" s="202"/>
      <c r="AF37" s="203"/>
    </row>
    <row r="38" spans="25:32" x14ac:dyDescent="0.25">
      <c r="Y38" s="24"/>
      <c r="Z38" s="17" t="str">
        <f>O2</f>
        <v>Equity</v>
      </c>
      <c r="AA38" s="17"/>
      <c r="AB38" s="17"/>
      <c r="AC38" s="17"/>
      <c r="AD38" s="17"/>
      <c r="AE38" s="17"/>
      <c r="AF38" s="25"/>
    </row>
    <row r="39" spans="25:32" x14ac:dyDescent="0.25">
      <c r="Y39" s="24"/>
      <c r="Z39" s="17" t="str">
        <f>O3</f>
        <v>Share Capital</v>
      </c>
      <c r="AA39" s="17"/>
      <c r="AB39" s="17"/>
      <c r="AC39" s="17"/>
      <c r="AD39" s="17">
        <f>O16</f>
        <v>15000</v>
      </c>
      <c r="AE39" s="17"/>
      <c r="AF39" s="25"/>
    </row>
    <row r="40" spans="25:32" x14ac:dyDescent="0.25">
      <c r="Y40" s="24"/>
      <c r="Z40" s="36" t="str">
        <f>Z25</f>
        <v>Retined earinihg, September 30</v>
      </c>
      <c r="AA40" s="17"/>
      <c r="AB40" s="17"/>
      <c r="AC40" s="17"/>
      <c r="AD40" s="36">
        <f>AE25</f>
        <v>1450</v>
      </c>
      <c r="AE40" s="37">
        <f>AD39+AD40</f>
        <v>16450</v>
      </c>
      <c r="AF40" s="25"/>
    </row>
    <row r="41" spans="25:32" x14ac:dyDescent="0.25">
      <c r="Y41" s="24"/>
      <c r="Z41" s="17" t="str">
        <f>M2</f>
        <v>Liabillies</v>
      </c>
      <c r="AA41" s="17"/>
      <c r="AB41" s="17"/>
      <c r="AC41" s="17"/>
      <c r="AD41" s="17"/>
      <c r="AE41" s="17"/>
      <c r="AF41" s="25"/>
    </row>
    <row r="42" spans="25:32" x14ac:dyDescent="0.25">
      <c r="Y42" s="24"/>
      <c r="Z42" s="17" t="str">
        <f>M3</f>
        <v>Accounts Payable</v>
      </c>
      <c r="AA42" s="17"/>
      <c r="AB42" s="17"/>
      <c r="AC42" s="17"/>
      <c r="AD42" s="17"/>
      <c r="AE42" s="17">
        <f>M16</f>
        <v>1600</v>
      </c>
      <c r="AF42" s="25"/>
    </row>
    <row r="43" spans="25:32" ht="19.5" thickBot="1" x14ac:dyDescent="0.35">
      <c r="Y43" s="24"/>
      <c r="Z43" s="17" t="s">
        <v>38</v>
      </c>
      <c r="AA43" s="17"/>
      <c r="AB43" s="17"/>
      <c r="AC43" s="17"/>
      <c r="AD43" s="17"/>
      <c r="AE43" s="39">
        <f>AE40+AE42</f>
        <v>18050</v>
      </c>
      <c r="AF43" s="25"/>
    </row>
    <row r="44" spans="25:32" ht="19.5" thickTop="1" x14ac:dyDescent="0.3">
      <c r="Y44" s="29"/>
      <c r="Z44" s="2"/>
      <c r="AA44" s="2"/>
      <c r="AB44" s="2"/>
      <c r="AC44" s="2"/>
      <c r="AD44" s="2"/>
      <c r="AE44" s="38"/>
      <c r="AF44" s="5"/>
    </row>
    <row r="46" spans="25:32" ht="15.75" x14ac:dyDescent="0.25">
      <c r="Y46" s="192" t="s">
        <v>22</v>
      </c>
      <c r="Z46" s="193"/>
      <c r="AA46" s="193"/>
      <c r="AB46" s="193"/>
      <c r="AC46" s="193"/>
      <c r="AD46" s="193"/>
      <c r="AE46" s="193"/>
      <c r="AF46" s="194"/>
    </row>
    <row r="47" spans="25:32" ht="15.75" x14ac:dyDescent="0.25">
      <c r="Y47" s="199" t="s">
        <v>41</v>
      </c>
      <c r="Z47" s="200"/>
      <c r="AA47" s="200"/>
      <c r="AB47" s="200"/>
      <c r="AC47" s="200"/>
      <c r="AD47" s="200"/>
      <c r="AE47" s="200"/>
      <c r="AF47" s="201"/>
    </row>
    <row r="48" spans="25:32" ht="15.75" x14ac:dyDescent="0.25">
      <c r="Y48" s="199" t="s">
        <v>30</v>
      </c>
      <c r="Z48" s="200"/>
      <c r="AA48" s="200"/>
      <c r="AB48" s="200"/>
      <c r="AC48" s="200"/>
      <c r="AD48" s="200"/>
      <c r="AE48" s="200"/>
      <c r="AF48" s="201"/>
    </row>
    <row r="49" spans="25:32" x14ac:dyDescent="0.25">
      <c r="Y49" s="24" t="s">
        <v>42</v>
      </c>
      <c r="Z49" s="17"/>
      <c r="AA49" s="17"/>
      <c r="AB49" s="17"/>
      <c r="AC49" s="17"/>
      <c r="AD49" s="17"/>
      <c r="AE49" s="17"/>
      <c r="AF49" s="25"/>
    </row>
    <row r="50" spans="25:32" x14ac:dyDescent="0.25">
      <c r="Y50" s="24"/>
      <c r="Z50" s="17" t="s">
        <v>43</v>
      </c>
      <c r="AA50" s="17"/>
      <c r="AB50" s="17"/>
      <c r="AC50" s="17"/>
      <c r="AD50" s="17"/>
      <c r="AE50" s="17"/>
      <c r="AF50" s="25"/>
    </row>
    <row r="51" spans="25:32" x14ac:dyDescent="0.25">
      <c r="Y51" s="24"/>
      <c r="Z51" s="17" t="s">
        <v>44</v>
      </c>
      <c r="AA51" s="17"/>
      <c r="AB51" s="17"/>
      <c r="AC51" s="17"/>
      <c r="AD51" s="17"/>
      <c r="AE51" s="17">
        <f>S16</f>
        <v>1950</v>
      </c>
      <c r="AF51" s="25"/>
    </row>
    <row r="52" spans="25:32" x14ac:dyDescent="0.25">
      <c r="Y52" s="24"/>
      <c r="Z52" s="17" t="s">
        <v>45</v>
      </c>
      <c r="AA52" s="17"/>
      <c r="AB52" s="17"/>
      <c r="AC52" s="17"/>
      <c r="AD52" s="17"/>
      <c r="AE52" s="41"/>
      <c r="AF52" s="25"/>
    </row>
    <row r="53" spans="25:32" x14ac:dyDescent="0.25">
      <c r="Y53" s="24"/>
      <c r="Z53" s="17" t="s">
        <v>46</v>
      </c>
      <c r="AA53" s="17"/>
      <c r="AB53" s="17"/>
      <c r="AC53" s="17"/>
      <c r="AD53" s="17"/>
      <c r="AE53" s="17"/>
      <c r="AF53" s="25"/>
    </row>
    <row r="54" spans="25:32" x14ac:dyDescent="0.25">
      <c r="Y54" s="24"/>
      <c r="Z54" s="17" t="s">
        <v>47</v>
      </c>
      <c r="AA54" s="17"/>
      <c r="AB54" s="17"/>
      <c r="AC54" s="17"/>
      <c r="AD54" s="17"/>
      <c r="AE54" s="17">
        <f>K16</f>
        <v>7000</v>
      </c>
      <c r="AF54" s="25"/>
    </row>
    <row r="55" spans="25:32" x14ac:dyDescent="0.25">
      <c r="Y55" s="24"/>
      <c r="Z55" s="17" t="s">
        <v>48</v>
      </c>
      <c r="AA55" s="17"/>
      <c r="AB55" s="17"/>
      <c r="AC55" s="17"/>
      <c r="AD55" s="17"/>
      <c r="AE55" s="17"/>
      <c r="AF55" s="25"/>
    </row>
    <row r="56" spans="25:32" x14ac:dyDescent="0.25">
      <c r="Y56" s="24"/>
      <c r="Z56" s="17" t="s">
        <v>49</v>
      </c>
      <c r="AA56" s="17"/>
      <c r="AB56" s="17"/>
      <c r="AC56" s="17"/>
      <c r="AD56" s="17"/>
      <c r="AE56" s="17"/>
      <c r="AF56" s="25"/>
    </row>
    <row r="57" spans="25:32" x14ac:dyDescent="0.25">
      <c r="Y57" s="24"/>
      <c r="Z57" s="17" t="s">
        <v>50</v>
      </c>
      <c r="AA57" s="17"/>
      <c r="AB57" s="17"/>
      <c r="AC57" s="17"/>
      <c r="AD57" s="17">
        <f>O16</f>
        <v>15000</v>
      </c>
      <c r="AE57" s="17"/>
      <c r="AF57" s="25"/>
    </row>
    <row r="58" spans="25:32" x14ac:dyDescent="0.25">
      <c r="Y58" s="24"/>
      <c r="Z58" s="17" t="s">
        <v>51</v>
      </c>
      <c r="AA58" s="17"/>
      <c r="AB58" s="17"/>
      <c r="AC58" s="17"/>
      <c r="AD58" s="17">
        <f>-U16</f>
        <v>-1300</v>
      </c>
      <c r="AE58" s="17"/>
      <c r="AF58" s="25"/>
    </row>
    <row r="59" spans="25:32" x14ac:dyDescent="0.25">
      <c r="Y59" s="24"/>
      <c r="Z59" s="27" t="s">
        <v>52</v>
      </c>
      <c r="AA59" s="17"/>
      <c r="AB59" s="17"/>
      <c r="AC59" s="17"/>
      <c r="AD59" s="17"/>
      <c r="AE59" s="17">
        <f>AD57+AD58</f>
        <v>13700</v>
      </c>
      <c r="AF59" s="25"/>
    </row>
    <row r="60" spans="25:32" x14ac:dyDescent="0.25">
      <c r="Y60" s="24"/>
      <c r="Z60" s="17" t="s">
        <v>53</v>
      </c>
      <c r="AA60" s="17"/>
      <c r="AB60" s="17"/>
      <c r="AC60" s="17"/>
      <c r="AD60" s="17"/>
      <c r="AE60" s="41">
        <f>E16</f>
        <v>8050</v>
      </c>
      <c r="AF60" s="25"/>
    </row>
    <row r="61" spans="25:32" x14ac:dyDescent="0.25">
      <c r="Y61" s="24"/>
      <c r="Z61" s="17" t="s">
        <v>54</v>
      </c>
      <c r="AA61" s="17"/>
      <c r="AB61" s="17"/>
      <c r="AC61" s="17"/>
      <c r="AD61" s="17"/>
      <c r="AE61" s="17">
        <v>0</v>
      </c>
      <c r="AF61" s="25"/>
    </row>
    <row r="62" spans="25:32" ht="21.75" thickBot="1" x14ac:dyDescent="0.4">
      <c r="Y62" s="24"/>
      <c r="Z62" s="17"/>
      <c r="AA62" s="17"/>
      <c r="AB62" s="17"/>
      <c r="AC62" s="17"/>
      <c r="AD62" s="17"/>
      <c r="AE62" s="42">
        <f>AE60-AE61</f>
        <v>8050</v>
      </c>
      <c r="AF62" s="25"/>
    </row>
    <row r="63" spans="25:32" ht="15.75" thickTop="1" x14ac:dyDescent="0.25">
      <c r="Y63" s="24"/>
      <c r="Z63" s="17"/>
      <c r="AA63" s="17"/>
      <c r="AB63" s="17"/>
      <c r="AC63" s="17"/>
      <c r="AD63" s="17"/>
      <c r="AE63" s="17"/>
      <c r="AF63" s="25"/>
    </row>
    <row r="64" spans="25:32" x14ac:dyDescent="0.25">
      <c r="Y64" s="24"/>
      <c r="Z64" s="17"/>
      <c r="AA64" s="17"/>
      <c r="AB64" s="17"/>
      <c r="AC64" s="17"/>
      <c r="AD64" s="17"/>
      <c r="AE64" s="17"/>
      <c r="AF64" s="25"/>
    </row>
    <row r="65" spans="25:32" x14ac:dyDescent="0.25">
      <c r="Y65" s="29"/>
      <c r="Z65" s="2"/>
      <c r="AA65" s="2"/>
      <c r="AB65" s="2"/>
      <c r="AC65" s="2"/>
      <c r="AD65" s="2"/>
      <c r="AE65" s="2"/>
      <c r="AF65" s="5"/>
    </row>
  </sheetData>
  <mergeCells count="19">
    <mergeCell ref="Y47:AF47"/>
    <mergeCell ref="Y48:AF48"/>
    <mergeCell ref="Y29:AF29"/>
    <mergeCell ref="Y30:AF30"/>
    <mergeCell ref="Z37:AF37"/>
    <mergeCell ref="Y31:AF31"/>
    <mergeCell ref="Y46:AF46"/>
    <mergeCell ref="Y18:AF18"/>
    <mergeCell ref="Y3:AF3"/>
    <mergeCell ref="Y4:AF4"/>
    <mergeCell ref="Y19:AF19"/>
    <mergeCell ref="Y28:AF28"/>
    <mergeCell ref="Y2:AF2"/>
    <mergeCell ref="E2:K2"/>
    <mergeCell ref="O2:U2"/>
    <mergeCell ref="C3:D3"/>
    <mergeCell ref="E17:K17"/>
    <mergeCell ref="O17:U17"/>
    <mergeCell ref="Y17:A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B43"/>
  <sheetViews>
    <sheetView topLeftCell="B16" zoomScaleNormal="100" workbookViewId="0">
      <selection activeCell="C47" sqref="C47"/>
    </sheetView>
  </sheetViews>
  <sheetFormatPr defaultRowHeight="15" x14ac:dyDescent="0.25"/>
  <cols>
    <col min="1" max="1" width="6.42578125" style="1" customWidth="1"/>
    <col min="2" max="2" width="10.42578125" style="1" bestFit="1" customWidth="1"/>
    <col min="3" max="3" width="51.42578125" style="1" bestFit="1" customWidth="1"/>
    <col min="4" max="4" width="11.5703125" style="1" bestFit="1" customWidth="1"/>
    <col min="5" max="6" width="8.7109375" style="1" bestFit="1" customWidth="1"/>
    <col min="7" max="7" width="4.42578125" style="1" customWidth="1"/>
    <col min="8" max="8" width="10.42578125" style="1" bestFit="1" customWidth="1"/>
    <col min="9" max="9" width="14.7109375" style="1" bestFit="1" customWidth="1"/>
    <col min="10" max="10" width="7.140625" style="1" bestFit="1" customWidth="1"/>
    <col min="11" max="11" width="9.42578125" style="1" bestFit="1" customWidth="1"/>
    <col min="12" max="12" width="10.85546875" style="1" bestFit="1" customWidth="1"/>
    <col min="13" max="13" width="10.140625" style="1" customWidth="1"/>
    <col min="14" max="14" width="3.7109375" style="1" customWidth="1"/>
    <col min="15" max="15" width="11" style="1" bestFit="1" customWidth="1"/>
    <col min="16" max="16" width="14.7109375" style="1" bestFit="1" customWidth="1"/>
    <col min="17" max="18" width="9.140625" style="1"/>
    <col min="19" max="20" width="10.140625" style="1" bestFit="1" customWidth="1"/>
    <col min="21" max="21" width="2.7109375" style="1" customWidth="1"/>
    <col min="22" max="22" width="2.140625" style="1" customWidth="1"/>
    <col min="23" max="23" width="27.140625" style="1" bestFit="1" customWidth="1"/>
    <col min="24" max="25" width="9.140625" style="1"/>
    <col min="26" max="26" width="2.7109375" style="1" customWidth="1"/>
    <col min="27" max="27" width="9.140625" style="1"/>
    <col min="28" max="28" width="3.42578125" style="1" customWidth="1"/>
    <col min="29" max="16384" width="9.140625" style="1"/>
  </cols>
  <sheetData>
    <row r="3" spans="2:28" ht="26.25" x14ac:dyDescent="0.4">
      <c r="B3" s="209" t="s">
        <v>55</v>
      </c>
      <c r="C3" s="210"/>
      <c r="D3" s="210"/>
      <c r="E3" s="210"/>
      <c r="F3" s="61" t="s">
        <v>110</v>
      </c>
      <c r="H3" s="205" t="s">
        <v>0</v>
      </c>
      <c r="I3" s="206"/>
      <c r="J3" s="206"/>
      <c r="K3" s="206"/>
      <c r="L3" s="206"/>
      <c r="M3" s="206"/>
      <c r="O3" s="205" t="s">
        <v>7</v>
      </c>
      <c r="P3" s="206"/>
      <c r="Q3" s="206"/>
      <c r="R3" s="206"/>
      <c r="S3" s="206"/>
      <c r="T3" s="206"/>
      <c r="V3" s="199" t="s">
        <v>81</v>
      </c>
      <c r="W3" s="200"/>
      <c r="X3" s="200"/>
      <c r="Y3" s="200"/>
      <c r="Z3" s="200"/>
      <c r="AA3" s="200"/>
      <c r="AB3" s="200"/>
    </row>
    <row r="4" spans="2:28" ht="26.25" customHeight="1" x14ac:dyDescent="0.35">
      <c r="B4" s="47" t="s">
        <v>56</v>
      </c>
      <c r="C4" s="47" t="s">
        <v>57</v>
      </c>
      <c r="D4" s="47" t="s">
        <v>65</v>
      </c>
      <c r="E4" s="47" t="s">
        <v>58</v>
      </c>
      <c r="F4" s="47" t="s">
        <v>59</v>
      </c>
      <c r="H4" s="207" t="s">
        <v>93</v>
      </c>
      <c r="I4" s="208"/>
      <c r="J4" s="208"/>
      <c r="K4" s="208"/>
      <c r="L4" s="208"/>
      <c r="M4" s="208"/>
      <c r="O4" s="207" t="s">
        <v>97</v>
      </c>
      <c r="P4" s="208"/>
      <c r="Q4" s="208"/>
      <c r="R4" s="208"/>
      <c r="S4" s="208"/>
      <c r="T4" s="208"/>
      <c r="V4" s="199" t="s">
        <v>82</v>
      </c>
      <c r="W4" s="200"/>
      <c r="X4" s="200"/>
      <c r="Y4" s="200"/>
      <c r="Z4" s="200"/>
      <c r="AA4" s="200"/>
      <c r="AB4" s="200"/>
    </row>
    <row r="5" spans="2:28" ht="18.75" x14ac:dyDescent="0.3">
      <c r="B5" s="48" t="s">
        <v>63</v>
      </c>
      <c r="C5" s="49" t="s">
        <v>0</v>
      </c>
      <c r="D5" s="49">
        <v>101</v>
      </c>
      <c r="E5" s="50">
        <v>10000</v>
      </c>
      <c r="F5" s="50"/>
      <c r="H5" s="45" t="s">
        <v>56</v>
      </c>
      <c r="I5" s="57" t="s">
        <v>87</v>
      </c>
      <c r="J5" s="45" t="s">
        <v>65</v>
      </c>
      <c r="K5" s="45" t="s">
        <v>106</v>
      </c>
      <c r="L5" s="45" t="s">
        <v>107</v>
      </c>
      <c r="M5" s="45" t="s">
        <v>88</v>
      </c>
      <c r="O5" s="45" t="s">
        <v>56</v>
      </c>
      <c r="P5" s="57" t="s">
        <v>87</v>
      </c>
      <c r="Q5" s="45" t="s">
        <v>65</v>
      </c>
      <c r="R5" s="45" t="s">
        <v>108</v>
      </c>
      <c r="S5" s="45" t="s">
        <v>109</v>
      </c>
      <c r="T5" s="45" t="s">
        <v>88</v>
      </c>
      <c r="V5" s="199" t="s">
        <v>83</v>
      </c>
      <c r="W5" s="200"/>
      <c r="X5" s="200"/>
      <c r="Y5" s="200"/>
      <c r="Z5" s="200"/>
      <c r="AA5" s="200"/>
      <c r="AB5" s="200"/>
    </row>
    <row r="6" spans="2:28" x14ac:dyDescent="0.25">
      <c r="B6" s="49"/>
      <c r="C6" s="49" t="s">
        <v>60</v>
      </c>
      <c r="D6" s="49">
        <v>301</v>
      </c>
      <c r="E6" s="50"/>
      <c r="F6" s="50">
        <v>10000</v>
      </c>
      <c r="H6" s="43" t="s">
        <v>63</v>
      </c>
      <c r="I6" s="43"/>
      <c r="J6" s="43" t="s">
        <v>89</v>
      </c>
      <c r="K6" s="58">
        <v>10000</v>
      </c>
      <c r="L6" s="58"/>
      <c r="M6" s="58">
        <f>K6</f>
        <v>10000</v>
      </c>
      <c r="O6" s="43" t="s">
        <v>91</v>
      </c>
      <c r="P6" s="43"/>
      <c r="Q6" s="43" t="s">
        <v>89</v>
      </c>
      <c r="R6" s="58"/>
      <c r="S6" s="58">
        <v>2500</v>
      </c>
      <c r="T6" s="58">
        <f>S6</f>
        <v>2500</v>
      </c>
      <c r="V6" s="52"/>
      <c r="W6" s="52"/>
      <c r="X6" s="52"/>
      <c r="Y6" s="52"/>
      <c r="Z6" s="52"/>
      <c r="AA6" s="52"/>
      <c r="AB6" s="52"/>
    </row>
    <row r="7" spans="2:28" x14ac:dyDescent="0.25">
      <c r="B7" s="49"/>
      <c r="C7" s="49" t="s">
        <v>66</v>
      </c>
      <c r="D7" s="49"/>
      <c r="E7" s="50"/>
      <c r="F7" s="50"/>
      <c r="H7" s="43">
        <v>2</v>
      </c>
      <c r="I7" s="43"/>
      <c r="J7" s="43" t="s">
        <v>89</v>
      </c>
      <c r="K7" s="58">
        <v>1200</v>
      </c>
      <c r="L7" s="58"/>
      <c r="M7" s="58">
        <f t="shared" ref="M7:M12" si="0">M6+K7-L7</f>
        <v>11200</v>
      </c>
      <c r="O7" s="44"/>
      <c r="P7" s="44"/>
      <c r="Q7" s="44"/>
      <c r="R7" s="59"/>
      <c r="S7" s="59"/>
      <c r="T7" s="59"/>
      <c r="V7" s="52"/>
      <c r="W7" s="52"/>
      <c r="X7" s="52"/>
      <c r="Y7" s="53" t="s">
        <v>58</v>
      </c>
      <c r="Z7" s="54"/>
      <c r="AA7" s="53" t="s">
        <v>59</v>
      </c>
      <c r="AB7" s="52"/>
    </row>
    <row r="8" spans="2:28" x14ac:dyDescent="0.25">
      <c r="B8" s="49"/>
      <c r="C8" s="49"/>
      <c r="D8" s="49"/>
      <c r="E8" s="50"/>
      <c r="F8" s="50"/>
      <c r="H8" s="43">
        <v>3</v>
      </c>
      <c r="I8" s="43"/>
      <c r="J8" s="43" t="s">
        <v>89</v>
      </c>
      <c r="K8" s="58"/>
      <c r="L8" s="58">
        <v>900</v>
      </c>
      <c r="M8" s="58">
        <f t="shared" si="0"/>
        <v>10300</v>
      </c>
      <c r="V8" s="52"/>
      <c r="W8" s="52" t="s">
        <v>0</v>
      </c>
      <c r="X8" s="52"/>
      <c r="Y8" s="60">
        <v>15200</v>
      </c>
      <c r="Z8" s="60"/>
      <c r="AA8" s="60"/>
      <c r="AB8" s="52"/>
    </row>
    <row r="9" spans="2:28" ht="21" x14ac:dyDescent="0.35">
      <c r="B9" s="49">
        <v>1</v>
      </c>
      <c r="C9" s="49" t="s">
        <v>61</v>
      </c>
      <c r="D9" s="49">
        <v>157</v>
      </c>
      <c r="E9" s="50">
        <v>5000</v>
      </c>
      <c r="F9" s="50"/>
      <c r="H9" s="43">
        <v>4</v>
      </c>
      <c r="I9" s="43"/>
      <c r="J9" s="43" t="s">
        <v>89</v>
      </c>
      <c r="K9" s="58"/>
      <c r="L9" s="58">
        <v>600</v>
      </c>
      <c r="M9" s="58">
        <f t="shared" si="0"/>
        <v>9700</v>
      </c>
      <c r="O9" s="205" t="s">
        <v>85</v>
      </c>
      <c r="P9" s="206"/>
      <c r="Q9" s="206"/>
      <c r="R9" s="206"/>
      <c r="S9" s="206"/>
      <c r="T9" s="206"/>
      <c r="V9" s="52"/>
      <c r="W9" s="52" t="s">
        <v>3</v>
      </c>
      <c r="X9" s="52"/>
      <c r="Y9" s="60">
        <v>2500</v>
      </c>
      <c r="Z9" s="60"/>
      <c r="AA9" s="60"/>
      <c r="AB9" s="52"/>
    </row>
    <row r="10" spans="2:28" ht="21" x14ac:dyDescent="0.35">
      <c r="B10" s="49"/>
      <c r="C10" s="49" t="s">
        <v>64</v>
      </c>
      <c r="D10" s="49">
        <v>200</v>
      </c>
      <c r="E10" s="50"/>
      <c r="F10" s="50">
        <v>5000</v>
      </c>
      <c r="H10" s="43">
        <v>20</v>
      </c>
      <c r="I10" s="43"/>
      <c r="J10" s="43" t="s">
        <v>89</v>
      </c>
      <c r="K10" s="58"/>
      <c r="L10" s="58">
        <v>500</v>
      </c>
      <c r="M10" s="58">
        <f t="shared" si="0"/>
        <v>9200</v>
      </c>
      <c r="O10" s="207" t="s">
        <v>98</v>
      </c>
      <c r="P10" s="208"/>
      <c r="Q10" s="208"/>
      <c r="R10" s="208"/>
      <c r="S10" s="208"/>
      <c r="T10" s="208"/>
      <c r="V10" s="52"/>
      <c r="W10" s="52" t="s">
        <v>70</v>
      </c>
      <c r="X10" s="52"/>
      <c r="Y10" s="60">
        <v>600</v>
      </c>
      <c r="Z10" s="60"/>
      <c r="AA10" s="60"/>
      <c r="AB10" s="52"/>
    </row>
    <row r="11" spans="2:28" ht="18.75" x14ac:dyDescent="0.3">
      <c r="B11" s="49"/>
      <c r="C11" s="49" t="s">
        <v>67</v>
      </c>
      <c r="D11" s="49"/>
      <c r="E11" s="50"/>
      <c r="F11" s="50"/>
      <c r="H11" s="43">
        <v>26</v>
      </c>
      <c r="I11" s="43"/>
      <c r="J11" s="43" t="s">
        <v>89</v>
      </c>
      <c r="K11" s="58"/>
      <c r="L11" s="58">
        <v>4000</v>
      </c>
      <c r="M11" s="58">
        <f t="shared" si="0"/>
        <v>5200</v>
      </c>
      <c r="O11" s="45" t="s">
        <v>56</v>
      </c>
      <c r="P11" s="57" t="s">
        <v>87</v>
      </c>
      <c r="Q11" s="45" t="s">
        <v>65</v>
      </c>
      <c r="R11" s="45" t="s">
        <v>108</v>
      </c>
      <c r="S11" s="45" t="s">
        <v>109</v>
      </c>
      <c r="T11" s="45" t="s">
        <v>88</v>
      </c>
      <c r="V11" s="52"/>
      <c r="W11" s="52" t="s">
        <v>61</v>
      </c>
      <c r="X11" s="52"/>
      <c r="Y11" s="60">
        <v>5000</v>
      </c>
      <c r="Z11" s="60"/>
      <c r="AA11" s="60"/>
      <c r="AB11" s="52"/>
    </row>
    <row r="12" spans="2:28" x14ac:dyDescent="0.25">
      <c r="B12" s="49"/>
      <c r="C12" s="49"/>
      <c r="D12" s="49"/>
      <c r="E12" s="50"/>
      <c r="F12" s="50"/>
      <c r="H12" s="43">
        <v>31</v>
      </c>
      <c r="I12" s="43"/>
      <c r="J12" s="43" t="s">
        <v>89</v>
      </c>
      <c r="K12" s="58">
        <v>10000</v>
      </c>
      <c r="L12" s="58"/>
      <c r="M12" s="58">
        <f t="shared" si="0"/>
        <v>15200</v>
      </c>
      <c r="O12" s="43" t="s">
        <v>91</v>
      </c>
      <c r="P12" s="43"/>
      <c r="Q12" s="43" t="s">
        <v>89</v>
      </c>
      <c r="R12" s="58"/>
      <c r="S12" s="58">
        <v>1200</v>
      </c>
      <c r="T12" s="58">
        <f>S12</f>
        <v>1200</v>
      </c>
      <c r="V12" s="52"/>
      <c r="W12" s="52" t="s">
        <v>84</v>
      </c>
      <c r="X12" s="52"/>
      <c r="Y12" s="60"/>
      <c r="Z12" s="60"/>
      <c r="AA12" s="60">
        <v>5000</v>
      </c>
      <c r="AB12" s="52"/>
    </row>
    <row r="13" spans="2:28" x14ac:dyDescent="0.25">
      <c r="B13" s="49">
        <v>2</v>
      </c>
      <c r="C13" s="49" t="s">
        <v>0</v>
      </c>
      <c r="D13" s="49">
        <v>101</v>
      </c>
      <c r="E13" s="50">
        <v>1200</v>
      </c>
      <c r="F13" s="50"/>
      <c r="H13" s="44"/>
      <c r="I13" s="44"/>
      <c r="J13" s="44"/>
      <c r="K13" s="59"/>
      <c r="L13" s="59"/>
      <c r="M13" s="59"/>
      <c r="O13" s="44"/>
      <c r="P13" s="44"/>
      <c r="Q13" s="44"/>
      <c r="R13" s="59"/>
      <c r="S13" s="59"/>
      <c r="T13" s="59"/>
      <c r="V13" s="52"/>
      <c r="W13" s="52" t="s">
        <v>7</v>
      </c>
      <c r="X13" s="52"/>
      <c r="Y13" s="60"/>
      <c r="Z13" s="60"/>
      <c r="AA13" s="60">
        <v>2500</v>
      </c>
      <c r="AB13" s="52"/>
    </row>
    <row r="14" spans="2:28" x14ac:dyDescent="0.25">
      <c r="B14" s="49"/>
      <c r="C14" s="49" t="s">
        <v>42</v>
      </c>
      <c r="D14" s="49">
        <v>209</v>
      </c>
      <c r="E14" s="50"/>
      <c r="F14" s="50">
        <v>1200</v>
      </c>
      <c r="V14" s="52"/>
      <c r="W14" s="52" t="s">
        <v>85</v>
      </c>
      <c r="X14" s="52"/>
      <c r="Y14" s="60"/>
      <c r="Z14" s="60"/>
      <c r="AA14" s="60">
        <v>1200</v>
      </c>
      <c r="AB14" s="52"/>
    </row>
    <row r="15" spans="2:28" ht="21" x14ac:dyDescent="0.35">
      <c r="B15" s="49"/>
      <c r="C15" s="49" t="s">
        <v>68</v>
      </c>
      <c r="D15" s="49"/>
      <c r="E15" s="50"/>
      <c r="F15" s="50"/>
      <c r="H15" s="205" t="s">
        <v>3</v>
      </c>
      <c r="I15" s="206"/>
      <c r="J15" s="206"/>
      <c r="K15" s="206"/>
      <c r="L15" s="206"/>
      <c r="M15" s="206"/>
      <c r="O15" s="205" t="s">
        <v>74</v>
      </c>
      <c r="P15" s="206"/>
      <c r="Q15" s="206"/>
      <c r="R15" s="206"/>
      <c r="S15" s="206"/>
      <c r="T15" s="206"/>
      <c r="V15" s="52"/>
      <c r="W15" s="52" t="s">
        <v>74</v>
      </c>
      <c r="X15" s="52"/>
      <c r="Y15" s="60"/>
      <c r="Z15" s="60"/>
      <c r="AA15" s="60">
        <v>10000</v>
      </c>
      <c r="AB15" s="52"/>
    </row>
    <row r="16" spans="2:28" ht="21" x14ac:dyDescent="0.35">
      <c r="B16" s="49"/>
      <c r="C16" s="49"/>
      <c r="D16" s="49"/>
      <c r="E16" s="50"/>
      <c r="F16" s="50"/>
      <c r="H16" s="207" t="s">
        <v>141</v>
      </c>
      <c r="I16" s="208"/>
      <c r="J16" s="208"/>
      <c r="K16" s="208"/>
      <c r="L16" s="208"/>
      <c r="M16" s="208"/>
      <c r="O16" s="207" t="s">
        <v>99</v>
      </c>
      <c r="P16" s="208"/>
      <c r="Q16" s="208"/>
      <c r="R16" s="208"/>
      <c r="S16" s="208"/>
      <c r="T16" s="208"/>
      <c r="V16" s="52"/>
      <c r="W16" s="52" t="s">
        <v>75</v>
      </c>
      <c r="X16" s="52"/>
      <c r="Y16" s="60">
        <v>500</v>
      </c>
      <c r="Z16" s="60"/>
      <c r="AA16" s="60"/>
      <c r="AB16" s="52"/>
    </row>
    <row r="17" spans="2:28" ht="18.75" x14ac:dyDescent="0.3">
      <c r="B17" s="49">
        <v>3</v>
      </c>
      <c r="C17" s="49" t="s">
        <v>18</v>
      </c>
      <c r="D17" s="49">
        <v>729</v>
      </c>
      <c r="E17" s="50">
        <v>900</v>
      </c>
      <c r="F17" s="50"/>
      <c r="H17" s="45" t="s">
        <v>56</v>
      </c>
      <c r="I17" s="57" t="s">
        <v>87</v>
      </c>
      <c r="J17" s="45" t="s">
        <v>65</v>
      </c>
      <c r="K17" s="45" t="s">
        <v>106</v>
      </c>
      <c r="L17" s="45" t="s">
        <v>107</v>
      </c>
      <c r="M17" s="45" t="s">
        <v>88</v>
      </c>
      <c r="O17" s="45" t="s">
        <v>56</v>
      </c>
      <c r="P17" s="57" t="s">
        <v>87</v>
      </c>
      <c r="Q17" s="45" t="s">
        <v>65</v>
      </c>
      <c r="R17" s="45" t="s">
        <v>108</v>
      </c>
      <c r="S17" s="45" t="s">
        <v>109</v>
      </c>
      <c r="T17" s="45" t="s">
        <v>88</v>
      </c>
      <c r="V17" s="52"/>
      <c r="W17" s="52" t="s">
        <v>86</v>
      </c>
      <c r="X17" s="52"/>
      <c r="Y17" s="60"/>
      <c r="Z17" s="60"/>
      <c r="AA17" s="60">
        <v>10000</v>
      </c>
      <c r="AB17" s="52"/>
    </row>
    <row r="18" spans="2:28" x14ac:dyDescent="0.25">
      <c r="B18" s="49"/>
      <c r="C18" s="49" t="s">
        <v>62</v>
      </c>
      <c r="D18" s="49">
        <v>101</v>
      </c>
      <c r="E18" s="50"/>
      <c r="F18" s="50">
        <v>900</v>
      </c>
      <c r="H18" s="43" t="s">
        <v>90</v>
      </c>
      <c r="I18" s="43"/>
      <c r="J18" s="43" t="s">
        <v>89</v>
      </c>
      <c r="K18" s="58">
        <v>2500</v>
      </c>
      <c r="L18" s="58"/>
      <c r="M18" s="58">
        <f>K18</f>
        <v>2500</v>
      </c>
      <c r="O18" s="43" t="s">
        <v>91</v>
      </c>
      <c r="P18" s="43"/>
      <c r="Q18" s="43" t="s">
        <v>89</v>
      </c>
      <c r="R18" s="58"/>
      <c r="S18" s="58">
        <v>10000</v>
      </c>
      <c r="T18" s="58">
        <f>S18</f>
        <v>10000</v>
      </c>
      <c r="V18" s="52"/>
      <c r="W18" s="52" t="s">
        <v>77</v>
      </c>
      <c r="X18" s="52"/>
      <c r="Y18" s="60">
        <v>4000</v>
      </c>
      <c r="Z18" s="60"/>
      <c r="AA18" s="60"/>
      <c r="AB18" s="52"/>
    </row>
    <row r="19" spans="2:28" x14ac:dyDescent="0.25">
      <c r="B19" s="49"/>
      <c r="C19" s="49" t="s">
        <v>69</v>
      </c>
      <c r="D19" s="49"/>
      <c r="E19" s="50"/>
      <c r="F19" s="50"/>
      <c r="H19" s="44"/>
      <c r="I19" s="44"/>
      <c r="J19" s="44"/>
      <c r="K19" s="59"/>
      <c r="L19" s="59"/>
      <c r="M19" s="59"/>
      <c r="O19" s="44"/>
      <c r="P19" s="44"/>
      <c r="Q19" s="44"/>
      <c r="R19" s="59"/>
      <c r="S19" s="59"/>
      <c r="T19" s="59"/>
      <c r="V19" s="52"/>
      <c r="W19" s="52" t="s">
        <v>18</v>
      </c>
      <c r="X19" s="52"/>
      <c r="Y19" s="60">
        <v>900</v>
      </c>
      <c r="Z19" s="60"/>
      <c r="AA19" s="60"/>
      <c r="AB19" s="52"/>
    </row>
    <row r="20" spans="2:28" ht="19.5" thickBot="1" x14ac:dyDescent="0.35">
      <c r="B20" s="49"/>
      <c r="C20" s="49"/>
      <c r="D20" s="49"/>
      <c r="E20" s="50"/>
      <c r="F20" s="50"/>
      <c r="V20" s="52"/>
      <c r="W20" s="52"/>
      <c r="X20" s="52"/>
      <c r="Y20" s="55">
        <f>SUM(Y8:Y19)</f>
        <v>28700</v>
      </c>
      <c r="Z20" s="56"/>
      <c r="AA20" s="55">
        <f>SUM(AA8:AA19)</f>
        <v>28700</v>
      </c>
      <c r="AB20" s="52"/>
    </row>
    <row r="21" spans="2:28" ht="21.75" thickTop="1" x14ac:dyDescent="0.35">
      <c r="B21" s="49">
        <v>4</v>
      </c>
      <c r="C21" s="49" t="s">
        <v>70</v>
      </c>
      <c r="D21" s="49">
        <v>130</v>
      </c>
      <c r="E21" s="50">
        <v>600</v>
      </c>
      <c r="F21" s="50"/>
      <c r="H21" s="205" t="s">
        <v>70</v>
      </c>
      <c r="I21" s="206"/>
      <c r="J21" s="206"/>
      <c r="K21" s="206"/>
      <c r="L21" s="206"/>
      <c r="M21" s="206"/>
      <c r="O21" s="205" t="s">
        <v>100</v>
      </c>
      <c r="P21" s="206"/>
      <c r="Q21" s="206"/>
      <c r="R21" s="206"/>
      <c r="S21" s="206"/>
      <c r="T21" s="206"/>
      <c r="V21" s="52"/>
      <c r="W21" s="52"/>
      <c r="X21" s="52"/>
      <c r="Y21" s="52"/>
      <c r="Z21" s="52"/>
      <c r="AA21" s="52"/>
      <c r="AB21" s="52"/>
    </row>
    <row r="22" spans="2:28" ht="21" x14ac:dyDescent="0.35">
      <c r="B22" s="49"/>
      <c r="C22" s="49" t="s">
        <v>62</v>
      </c>
      <c r="D22" s="49">
        <v>101</v>
      </c>
      <c r="E22" s="50"/>
      <c r="F22" s="50">
        <v>600</v>
      </c>
      <c r="H22" s="207" t="s">
        <v>94</v>
      </c>
      <c r="I22" s="208"/>
      <c r="J22" s="208"/>
      <c r="K22" s="208"/>
      <c r="L22" s="208"/>
      <c r="M22" s="208"/>
      <c r="O22" s="207" t="s">
        <v>101</v>
      </c>
      <c r="P22" s="208"/>
      <c r="Q22" s="208"/>
      <c r="R22" s="208"/>
      <c r="S22" s="208"/>
      <c r="T22" s="208"/>
    </row>
    <row r="23" spans="2:28" ht="18.75" x14ac:dyDescent="0.3">
      <c r="B23" s="49"/>
      <c r="C23" s="49" t="s">
        <v>71</v>
      </c>
      <c r="D23" s="49"/>
      <c r="E23" s="50"/>
      <c r="F23" s="50"/>
      <c r="H23" s="45" t="s">
        <v>56</v>
      </c>
      <c r="I23" s="57" t="s">
        <v>87</v>
      </c>
      <c r="J23" s="45" t="s">
        <v>65</v>
      </c>
      <c r="K23" s="45" t="s">
        <v>106</v>
      </c>
      <c r="L23" s="45" t="s">
        <v>107</v>
      </c>
      <c r="M23" s="45" t="s">
        <v>88</v>
      </c>
      <c r="O23" s="45" t="s">
        <v>56</v>
      </c>
      <c r="P23" s="57" t="s">
        <v>87</v>
      </c>
      <c r="Q23" s="45" t="s">
        <v>65</v>
      </c>
      <c r="R23" s="45" t="s">
        <v>106</v>
      </c>
      <c r="S23" s="45" t="s">
        <v>107</v>
      </c>
      <c r="T23" s="45" t="s">
        <v>88</v>
      </c>
    </row>
    <row r="24" spans="2:28" x14ac:dyDescent="0.25">
      <c r="B24" s="49"/>
      <c r="C24" s="49"/>
      <c r="D24" s="49"/>
      <c r="E24" s="50"/>
      <c r="F24" s="50"/>
      <c r="H24" s="43" t="s">
        <v>91</v>
      </c>
      <c r="I24" s="43"/>
      <c r="J24" s="43" t="s">
        <v>89</v>
      </c>
      <c r="K24" s="58">
        <v>600</v>
      </c>
      <c r="L24" s="58"/>
      <c r="M24" s="58">
        <f>K24</f>
        <v>600</v>
      </c>
      <c r="O24" s="43" t="s">
        <v>91</v>
      </c>
      <c r="P24" s="43"/>
      <c r="Q24" s="43" t="s">
        <v>89</v>
      </c>
      <c r="R24" s="58">
        <v>500</v>
      </c>
      <c r="S24" s="58"/>
      <c r="T24" s="58">
        <f>R24</f>
        <v>500</v>
      </c>
    </row>
    <row r="25" spans="2:28" x14ac:dyDescent="0.25">
      <c r="B25" s="49">
        <v>5</v>
      </c>
      <c r="C25" s="49" t="s">
        <v>3</v>
      </c>
      <c r="D25" s="49">
        <v>126</v>
      </c>
      <c r="E25" s="50">
        <v>2500</v>
      </c>
      <c r="F25" s="50"/>
      <c r="H25" s="44"/>
      <c r="I25" s="44"/>
      <c r="J25" s="44"/>
      <c r="K25" s="59"/>
      <c r="L25" s="59"/>
      <c r="M25" s="59"/>
      <c r="O25" s="44"/>
      <c r="P25" s="44"/>
      <c r="Q25" s="44"/>
      <c r="R25" s="59"/>
      <c r="S25" s="59"/>
      <c r="T25" s="59"/>
    </row>
    <row r="26" spans="2:28" x14ac:dyDescent="0.25">
      <c r="B26" s="49"/>
      <c r="C26" s="49" t="s">
        <v>72</v>
      </c>
      <c r="D26" s="49">
        <v>201</v>
      </c>
      <c r="E26" s="50"/>
      <c r="F26" s="50">
        <v>2500</v>
      </c>
    </row>
    <row r="27" spans="2:28" ht="21" x14ac:dyDescent="0.35">
      <c r="B27" s="49"/>
      <c r="C27" s="49" t="s">
        <v>73</v>
      </c>
      <c r="D27" s="49"/>
      <c r="E27" s="50"/>
      <c r="F27" s="50"/>
      <c r="H27" s="205" t="s">
        <v>61</v>
      </c>
      <c r="I27" s="206"/>
      <c r="J27" s="206"/>
      <c r="K27" s="206"/>
      <c r="L27" s="206"/>
      <c r="M27" s="206"/>
      <c r="O27" s="205" t="s">
        <v>102</v>
      </c>
      <c r="P27" s="206"/>
      <c r="Q27" s="206"/>
      <c r="R27" s="206"/>
      <c r="S27" s="206"/>
      <c r="T27" s="206"/>
    </row>
    <row r="28" spans="2:28" ht="21" x14ac:dyDescent="0.35">
      <c r="B28" s="49"/>
      <c r="C28" s="49"/>
      <c r="D28" s="49"/>
      <c r="E28" s="50"/>
      <c r="F28" s="50"/>
      <c r="H28" s="207" t="s">
        <v>95</v>
      </c>
      <c r="I28" s="208"/>
      <c r="J28" s="208"/>
      <c r="K28" s="208"/>
      <c r="L28" s="208"/>
      <c r="M28" s="208"/>
      <c r="O28" s="207" t="s">
        <v>103</v>
      </c>
      <c r="P28" s="208"/>
      <c r="Q28" s="208"/>
      <c r="R28" s="208"/>
      <c r="S28" s="208"/>
      <c r="T28" s="208"/>
    </row>
    <row r="29" spans="2:28" ht="18.75" x14ac:dyDescent="0.3">
      <c r="B29" s="49">
        <v>20</v>
      </c>
      <c r="C29" s="49" t="s">
        <v>100</v>
      </c>
      <c r="D29" s="49">
        <v>306</v>
      </c>
      <c r="E29" s="50">
        <v>500</v>
      </c>
      <c r="F29" s="50"/>
      <c r="H29" s="45" t="s">
        <v>56</v>
      </c>
      <c r="I29" s="57" t="s">
        <v>87</v>
      </c>
      <c r="J29" s="45" t="s">
        <v>65</v>
      </c>
      <c r="K29" s="45" t="s">
        <v>106</v>
      </c>
      <c r="L29" s="45" t="s">
        <v>107</v>
      </c>
      <c r="M29" s="45" t="s">
        <v>88</v>
      </c>
      <c r="O29" s="45" t="s">
        <v>56</v>
      </c>
      <c r="P29" s="57" t="s">
        <v>87</v>
      </c>
      <c r="Q29" s="45" t="s">
        <v>65</v>
      </c>
      <c r="R29" s="45" t="s">
        <v>108</v>
      </c>
      <c r="S29" s="45" t="s">
        <v>109</v>
      </c>
      <c r="T29" s="45" t="s">
        <v>88</v>
      </c>
    </row>
    <row r="30" spans="2:28" x14ac:dyDescent="0.25">
      <c r="B30" s="49"/>
      <c r="C30" s="49" t="s">
        <v>62</v>
      </c>
      <c r="D30" s="49">
        <v>101</v>
      </c>
      <c r="E30" s="50"/>
      <c r="F30" s="50">
        <v>500</v>
      </c>
      <c r="H30" s="43" t="s">
        <v>91</v>
      </c>
      <c r="I30" s="43"/>
      <c r="J30" s="43" t="s">
        <v>89</v>
      </c>
      <c r="K30" s="58">
        <v>5000</v>
      </c>
      <c r="L30" s="58"/>
      <c r="M30" s="58">
        <f>K30</f>
        <v>5000</v>
      </c>
      <c r="O30" s="43" t="s">
        <v>91</v>
      </c>
      <c r="P30" s="43"/>
      <c r="Q30" s="43" t="s">
        <v>89</v>
      </c>
      <c r="R30" s="58"/>
      <c r="S30" s="58">
        <v>10000</v>
      </c>
      <c r="T30" s="58">
        <f>S30</f>
        <v>10000</v>
      </c>
    </row>
    <row r="31" spans="2:28" x14ac:dyDescent="0.25">
      <c r="B31" s="49"/>
      <c r="C31" s="49" t="s">
        <v>78</v>
      </c>
      <c r="D31" s="49"/>
      <c r="E31" s="50"/>
      <c r="F31" s="50"/>
      <c r="H31" s="44"/>
      <c r="I31" s="44"/>
      <c r="J31" s="44"/>
      <c r="K31" s="59"/>
      <c r="L31" s="59"/>
      <c r="M31" s="59"/>
      <c r="O31" s="44"/>
      <c r="P31" s="44"/>
      <c r="Q31" s="44"/>
      <c r="R31" s="59"/>
      <c r="S31" s="59"/>
      <c r="T31" s="59"/>
    </row>
    <row r="32" spans="2:28" ht="12" customHeight="1" x14ac:dyDescent="0.25">
      <c r="B32" s="49"/>
      <c r="C32" s="49"/>
      <c r="D32" s="49"/>
      <c r="E32" s="50"/>
      <c r="F32" s="50"/>
    </row>
    <row r="33" spans="2:20" ht="21" x14ac:dyDescent="0.35">
      <c r="B33" s="49">
        <v>26</v>
      </c>
      <c r="C33" s="49" t="s">
        <v>77</v>
      </c>
      <c r="D33" s="49">
        <v>726</v>
      </c>
      <c r="E33" s="50">
        <v>4000</v>
      </c>
      <c r="F33" s="50"/>
      <c r="H33" s="205" t="s">
        <v>92</v>
      </c>
      <c r="I33" s="206"/>
      <c r="J33" s="206"/>
      <c r="K33" s="206"/>
      <c r="L33" s="206"/>
      <c r="M33" s="206"/>
      <c r="O33" s="205" t="s">
        <v>77</v>
      </c>
      <c r="P33" s="206"/>
      <c r="Q33" s="206"/>
      <c r="R33" s="206"/>
      <c r="S33" s="206"/>
      <c r="T33" s="206"/>
    </row>
    <row r="34" spans="2:20" ht="21" x14ac:dyDescent="0.35">
      <c r="B34" s="49"/>
      <c r="C34" s="49" t="s">
        <v>62</v>
      </c>
      <c r="D34" s="49">
        <v>101</v>
      </c>
      <c r="E34" s="50"/>
      <c r="F34" s="50">
        <v>4000</v>
      </c>
      <c r="H34" s="207" t="s">
        <v>96</v>
      </c>
      <c r="I34" s="208"/>
      <c r="J34" s="208"/>
      <c r="K34" s="208"/>
      <c r="L34" s="208"/>
      <c r="M34" s="208"/>
      <c r="O34" s="207" t="s">
        <v>105</v>
      </c>
      <c r="P34" s="208"/>
      <c r="Q34" s="208"/>
      <c r="R34" s="208"/>
      <c r="S34" s="208"/>
      <c r="T34" s="208"/>
    </row>
    <row r="35" spans="2:20" ht="18.75" x14ac:dyDescent="0.3">
      <c r="B35" s="49"/>
      <c r="C35" s="49" t="s">
        <v>76</v>
      </c>
      <c r="D35" s="5"/>
      <c r="E35" s="46"/>
      <c r="F35" s="46"/>
      <c r="H35" s="45" t="s">
        <v>56</v>
      </c>
      <c r="I35" s="57" t="s">
        <v>87</v>
      </c>
      <c r="J35" s="45" t="s">
        <v>65</v>
      </c>
      <c r="K35" s="45" t="s">
        <v>108</v>
      </c>
      <c r="L35" s="45" t="s">
        <v>109</v>
      </c>
      <c r="M35" s="45" t="s">
        <v>88</v>
      </c>
      <c r="O35" s="45" t="s">
        <v>56</v>
      </c>
      <c r="P35" s="57" t="s">
        <v>87</v>
      </c>
      <c r="Q35" s="45" t="s">
        <v>65</v>
      </c>
      <c r="R35" s="45" t="s">
        <v>108</v>
      </c>
      <c r="S35" s="45" t="s">
        <v>138</v>
      </c>
      <c r="T35" s="45" t="s">
        <v>88</v>
      </c>
    </row>
    <row r="36" spans="2:20" x14ac:dyDescent="0.25">
      <c r="B36" s="49"/>
      <c r="C36" s="49"/>
      <c r="D36" s="49"/>
      <c r="E36" s="50"/>
      <c r="F36" s="50"/>
      <c r="H36" s="43" t="s">
        <v>63</v>
      </c>
      <c r="I36" s="43"/>
      <c r="J36" s="43" t="s">
        <v>89</v>
      </c>
      <c r="K36" s="58">
        <v>5000</v>
      </c>
      <c r="L36" s="58"/>
      <c r="M36" s="58">
        <f>K36</f>
        <v>5000</v>
      </c>
      <c r="O36" s="43" t="s">
        <v>91</v>
      </c>
      <c r="P36" s="43"/>
      <c r="Q36" s="43" t="s">
        <v>89</v>
      </c>
      <c r="R36" s="58">
        <v>4000</v>
      </c>
      <c r="S36" s="58"/>
      <c r="T36" s="58">
        <f>R36</f>
        <v>4000</v>
      </c>
    </row>
    <row r="37" spans="2:20" x14ac:dyDescent="0.25">
      <c r="B37" s="49">
        <v>31</v>
      </c>
      <c r="C37" s="49" t="s">
        <v>0</v>
      </c>
      <c r="D37" s="49">
        <v>101</v>
      </c>
      <c r="E37" s="50">
        <v>10000</v>
      </c>
      <c r="F37" s="50"/>
      <c r="H37" s="44"/>
      <c r="I37" s="44"/>
      <c r="J37" s="44"/>
      <c r="K37" s="59"/>
      <c r="L37" s="59"/>
      <c r="M37" s="59"/>
      <c r="O37" s="44"/>
      <c r="P37" s="44"/>
      <c r="Q37" s="44"/>
      <c r="R37" s="59"/>
      <c r="S37" s="59"/>
      <c r="T37" s="59"/>
    </row>
    <row r="38" spans="2:20" x14ac:dyDescent="0.25">
      <c r="B38" s="49"/>
      <c r="C38" s="49" t="s">
        <v>79</v>
      </c>
      <c r="D38" s="49">
        <v>400</v>
      </c>
      <c r="E38" s="50"/>
      <c r="F38" s="50">
        <v>10000</v>
      </c>
    </row>
    <row r="39" spans="2:20" ht="21" x14ac:dyDescent="0.35">
      <c r="B39" s="49"/>
      <c r="C39" s="49" t="s">
        <v>80</v>
      </c>
      <c r="D39" s="49"/>
      <c r="E39" s="50"/>
      <c r="F39" s="50"/>
      <c r="O39" s="205" t="s">
        <v>18</v>
      </c>
      <c r="P39" s="206"/>
      <c r="Q39" s="206"/>
      <c r="R39" s="206"/>
      <c r="S39" s="206"/>
      <c r="T39" s="206"/>
    </row>
    <row r="40" spans="2:20" ht="21" x14ac:dyDescent="0.35">
      <c r="E40" s="51">
        <f>SUM(E5:E39)</f>
        <v>34700</v>
      </c>
      <c r="F40" s="51">
        <f>SUM(F5:F39)</f>
        <v>34700</v>
      </c>
      <c r="O40" s="207" t="s">
        <v>104</v>
      </c>
      <c r="P40" s="208"/>
      <c r="Q40" s="208"/>
      <c r="R40" s="208"/>
      <c r="S40" s="208"/>
      <c r="T40" s="208"/>
    </row>
    <row r="41" spans="2:20" ht="18.75" x14ac:dyDescent="0.3">
      <c r="O41" s="45" t="s">
        <v>56</v>
      </c>
      <c r="P41" s="57" t="s">
        <v>87</v>
      </c>
      <c r="Q41" s="45" t="s">
        <v>65</v>
      </c>
      <c r="R41" s="45" t="s">
        <v>106</v>
      </c>
      <c r="S41" s="45" t="s">
        <v>107</v>
      </c>
      <c r="T41" s="45" t="s">
        <v>88</v>
      </c>
    </row>
    <row r="42" spans="2:20" x14ac:dyDescent="0.25">
      <c r="O42" s="43" t="s">
        <v>91</v>
      </c>
      <c r="P42" s="43"/>
      <c r="Q42" s="43" t="s">
        <v>89</v>
      </c>
      <c r="R42" s="58">
        <v>4000</v>
      </c>
      <c r="S42" s="58"/>
      <c r="T42" s="58">
        <f>R42</f>
        <v>4000</v>
      </c>
    </row>
    <row r="43" spans="2:20" x14ac:dyDescent="0.25">
      <c r="O43" s="44"/>
      <c r="P43" s="44"/>
      <c r="Q43" s="44"/>
      <c r="R43" s="59"/>
      <c r="S43" s="59"/>
      <c r="T43" s="59"/>
    </row>
  </sheetData>
  <mergeCells count="28">
    <mergeCell ref="V3:AB3"/>
    <mergeCell ref="V5:AB5"/>
    <mergeCell ref="V4:AB4"/>
    <mergeCell ref="H27:M27"/>
    <mergeCell ref="B3:E3"/>
    <mergeCell ref="H28:M28"/>
    <mergeCell ref="H33:M33"/>
    <mergeCell ref="H34:M34"/>
    <mergeCell ref="O3:T3"/>
    <mergeCell ref="O4:T4"/>
    <mergeCell ref="O9:T9"/>
    <mergeCell ref="O10:T10"/>
    <mergeCell ref="O15:T15"/>
    <mergeCell ref="O16:T16"/>
    <mergeCell ref="H3:M3"/>
    <mergeCell ref="H4:M4"/>
    <mergeCell ref="H15:M15"/>
    <mergeCell ref="H16:M16"/>
    <mergeCell ref="H21:M21"/>
    <mergeCell ref="H22:M22"/>
    <mergeCell ref="O39:T39"/>
    <mergeCell ref="O40:T40"/>
    <mergeCell ref="O21:T21"/>
    <mergeCell ref="O22:T22"/>
    <mergeCell ref="O27:T27"/>
    <mergeCell ref="O28:T28"/>
    <mergeCell ref="O33:T33"/>
    <mergeCell ref="O34:T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U57"/>
  <sheetViews>
    <sheetView topLeftCell="B1" zoomScale="112" zoomScaleNormal="112" workbookViewId="0">
      <selection activeCell="E26" sqref="E26"/>
    </sheetView>
  </sheetViews>
  <sheetFormatPr defaultRowHeight="15" x14ac:dyDescent="0.25"/>
  <cols>
    <col min="1" max="1" width="4.140625" style="117" customWidth="1"/>
    <col min="2" max="2" width="10.42578125" style="117" bestFit="1" customWidth="1"/>
    <col min="3" max="3" width="46.7109375" style="117" bestFit="1" customWidth="1"/>
    <col min="4" max="4" width="7.140625" style="117" bestFit="1" customWidth="1"/>
    <col min="5" max="5" width="7.5703125" style="117" bestFit="1" customWidth="1"/>
    <col min="6" max="6" width="8.28515625" style="117" bestFit="1" customWidth="1"/>
    <col min="7" max="8" width="3.140625" style="117" customWidth="1"/>
    <col min="9" max="9" width="26.28515625" style="117" bestFit="1" customWidth="1"/>
    <col min="10" max="10" width="8.42578125" style="117" bestFit="1" customWidth="1"/>
    <col min="11" max="11" width="3.5703125" style="117" customWidth="1"/>
    <col min="12" max="12" width="8.42578125" style="117" bestFit="1" customWidth="1"/>
    <col min="13" max="14" width="2.42578125" style="117" customWidth="1"/>
    <col min="15" max="16" width="2" style="117" customWidth="1"/>
    <col min="17" max="17" width="11.28515625" style="117" bestFit="1" customWidth="1"/>
    <col min="18" max="18" width="28.5703125" style="117" bestFit="1" customWidth="1"/>
    <col min="19" max="19" width="12.5703125" style="117" bestFit="1" customWidth="1"/>
    <col min="20" max="20" width="17.5703125" style="117" bestFit="1" customWidth="1"/>
    <col min="21" max="22" width="2" style="117" customWidth="1"/>
    <col min="23" max="23" width="12.28515625" style="117" bestFit="1" customWidth="1"/>
    <col min="24" max="24" width="9.140625" style="117"/>
    <col min="25" max="25" width="7.140625" style="117" bestFit="1" customWidth="1"/>
    <col min="26" max="26" width="12.5703125" style="117" bestFit="1" customWidth="1"/>
    <col min="27" max="27" width="11.5703125" style="117" bestFit="1" customWidth="1"/>
    <col min="28" max="28" width="12.5703125" style="117" bestFit="1" customWidth="1"/>
    <col min="29" max="29" width="2.5703125" style="117" customWidth="1"/>
    <col min="30" max="30" width="11.85546875" style="117" bestFit="1" customWidth="1"/>
    <col min="31" max="32" width="9.140625" style="117"/>
    <col min="33" max="33" width="11.5703125" style="117" bestFit="1" customWidth="1"/>
    <col min="34" max="34" width="9.85546875" style="117" bestFit="1" customWidth="1"/>
    <col min="35" max="35" width="12.28515625" style="117" bestFit="1" customWidth="1"/>
    <col min="36" max="36" width="3.28515625" style="117" customWidth="1"/>
    <col min="37" max="37" width="11.85546875" style="117" bestFit="1" customWidth="1"/>
    <col min="38" max="39" width="9.140625" style="117"/>
    <col min="40" max="40" width="10" style="117" bestFit="1" customWidth="1"/>
    <col min="41" max="41" width="9.85546875" style="117" bestFit="1" customWidth="1"/>
    <col min="42" max="42" width="12.28515625" style="117" bestFit="1" customWidth="1"/>
    <col min="43" max="43" width="2.140625" style="117" customWidth="1"/>
    <col min="44" max="44" width="11.85546875" style="117" bestFit="1" customWidth="1"/>
    <col min="45" max="46" width="9.140625" style="117"/>
    <col min="47" max="47" width="11.5703125" style="117" bestFit="1" customWidth="1"/>
    <col min="48" max="48" width="9.85546875" style="117" bestFit="1" customWidth="1"/>
    <col min="49" max="49" width="11.5703125" style="117" bestFit="1" customWidth="1"/>
    <col min="50" max="50" width="4.85546875" style="117" customWidth="1"/>
    <col min="51" max="51" width="11.85546875" style="117" bestFit="1" customWidth="1"/>
    <col min="52" max="53" width="9.140625" style="117"/>
    <col min="54" max="54" width="9.85546875" style="117" bestFit="1" customWidth="1"/>
    <col min="55" max="55" width="11.5703125" style="117" bestFit="1" customWidth="1"/>
    <col min="56" max="56" width="12.28515625" style="117" bestFit="1" customWidth="1"/>
    <col min="57" max="57" width="3.85546875" style="117" customWidth="1"/>
    <col min="58" max="58" width="11.85546875" style="117" bestFit="1" customWidth="1"/>
    <col min="59" max="60" width="9.140625" style="117"/>
    <col min="61" max="61" width="9.85546875" style="117" bestFit="1" customWidth="1"/>
    <col min="62" max="62" width="11.5703125" style="117" bestFit="1" customWidth="1"/>
    <col min="63" max="63" width="12.28515625" style="117" bestFit="1" customWidth="1"/>
    <col min="64" max="64" width="2.85546875" style="117" customWidth="1"/>
    <col min="65" max="65" width="11.42578125" style="117" bestFit="1" customWidth="1"/>
    <col min="66" max="66" width="14.7109375" style="117" bestFit="1" customWidth="1"/>
    <col min="67" max="67" width="5.85546875" style="117" customWidth="1"/>
    <col min="68" max="68" width="9.7109375" style="117" bestFit="1" customWidth="1"/>
    <col min="69" max="69" width="11.5703125" style="117" bestFit="1" customWidth="1"/>
    <col min="70" max="70" width="12.28515625" style="117" bestFit="1" customWidth="1"/>
    <col min="71" max="71" width="3.7109375" style="117" customWidth="1"/>
    <col min="72" max="72" width="11.85546875" style="117" bestFit="1" customWidth="1"/>
    <col min="73" max="74" width="9.140625" style="117"/>
    <col min="75" max="75" width="9.85546875" style="117" bestFit="1" customWidth="1"/>
    <col min="76" max="77" width="12.5703125" style="117" bestFit="1" customWidth="1"/>
    <col min="78" max="78" width="4.5703125" style="117" customWidth="1"/>
    <col min="79" max="81" width="9.140625" style="117"/>
    <col min="82" max="82" width="11.5703125" style="117" bestFit="1" customWidth="1"/>
    <col min="83" max="83" width="11" style="117" bestFit="1" customWidth="1"/>
    <col min="84" max="84" width="12.28515625" style="117" bestFit="1" customWidth="1"/>
    <col min="85" max="85" width="2.42578125" style="117" customWidth="1"/>
    <col min="86" max="88" width="9.140625" style="117"/>
    <col min="89" max="89" width="9.85546875" style="117" bestFit="1" customWidth="1"/>
    <col min="90" max="91" width="12.5703125" style="117" bestFit="1" customWidth="1"/>
    <col min="92" max="92" width="2.42578125" style="117" customWidth="1"/>
    <col min="93" max="93" width="11.85546875" style="117" bestFit="1" customWidth="1"/>
    <col min="94" max="95" width="9.140625" style="117"/>
    <col min="96" max="96" width="11.5703125" style="117" bestFit="1" customWidth="1"/>
    <col min="97" max="97" width="9.85546875" style="117" bestFit="1" customWidth="1"/>
    <col min="98" max="98" width="11.5703125" style="117" bestFit="1" customWidth="1"/>
    <col min="99" max="99" width="2.5703125" style="117" customWidth="1"/>
    <col min="100" max="16384" width="9.140625" style="117"/>
  </cols>
  <sheetData>
    <row r="2" spans="2:99" ht="29.25" thickBot="1" x14ac:dyDescent="0.5">
      <c r="W2" s="220" t="s">
        <v>39</v>
      </c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118" t="s">
        <v>5</v>
      </c>
      <c r="AY2" s="220" t="s">
        <v>175</v>
      </c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119" t="s">
        <v>1</v>
      </c>
      <c r="BT2" s="220" t="s">
        <v>177</v>
      </c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</row>
    <row r="4" spans="2:99" ht="26.25" x14ac:dyDescent="0.4">
      <c r="B4" s="222" t="s">
        <v>55</v>
      </c>
      <c r="C4" s="223"/>
      <c r="D4" s="223"/>
      <c r="E4" s="223"/>
      <c r="F4" s="120" t="s">
        <v>89</v>
      </c>
      <c r="H4" s="217" t="s">
        <v>81</v>
      </c>
      <c r="I4" s="218"/>
      <c r="J4" s="218"/>
      <c r="K4" s="218"/>
      <c r="L4" s="218"/>
      <c r="M4" s="218"/>
      <c r="N4" s="121"/>
      <c r="P4" s="214" t="s">
        <v>22</v>
      </c>
      <c r="Q4" s="215"/>
      <c r="R4" s="215"/>
      <c r="S4" s="215"/>
      <c r="T4" s="215"/>
      <c r="U4" s="216"/>
      <c r="W4" s="227" t="s">
        <v>0</v>
      </c>
      <c r="X4" s="228"/>
      <c r="Y4" s="228"/>
      <c r="Z4" s="228"/>
      <c r="AA4" s="228"/>
      <c r="AB4" s="229"/>
      <c r="AD4" s="227" t="s">
        <v>3</v>
      </c>
      <c r="AE4" s="228"/>
      <c r="AF4" s="228"/>
      <c r="AG4" s="228"/>
      <c r="AH4" s="228"/>
      <c r="AI4" s="229"/>
      <c r="AK4" s="227" t="s">
        <v>70</v>
      </c>
      <c r="AL4" s="228"/>
      <c r="AM4" s="228"/>
      <c r="AN4" s="228"/>
      <c r="AO4" s="228"/>
      <c r="AP4" s="229"/>
      <c r="AR4" s="227" t="s">
        <v>61</v>
      </c>
      <c r="AS4" s="228"/>
      <c r="AT4" s="228"/>
      <c r="AU4" s="228"/>
      <c r="AV4" s="228"/>
      <c r="AW4" s="229"/>
      <c r="AY4" s="230" t="s">
        <v>92</v>
      </c>
      <c r="AZ4" s="231"/>
      <c r="BA4" s="231"/>
      <c r="BB4" s="231"/>
      <c r="BC4" s="231"/>
      <c r="BD4" s="231"/>
      <c r="BE4" s="122" t="s">
        <v>1</v>
      </c>
      <c r="BF4" s="227" t="s">
        <v>7</v>
      </c>
      <c r="BG4" s="228"/>
      <c r="BH4" s="228"/>
      <c r="BI4" s="228"/>
      <c r="BJ4" s="228"/>
      <c r="BK4" s="229"/>
      <c r="BM4" s="227" t="s">
        <v>85</v>
      </c>
      <c r="BN4" s="228"/>
      <c r="BO4" s="228"/>
      <c r="BP4" s="228"/>
      <c r="BQ4" s="228"/>
      <c r="BR4" s="229"/>
      <c r="BS4" s="122" t="s">
        <v>1</v>
      </c>
      <c r="BT4" s="227" t="s">
        <v>74</v>
      </c>
      <c r="BU4" s="228"/>
      <c r="BV4" s="228"/>
      <c r="BW4" s="228"/>
      <c r="BX4" s="228"/>
      <c r="BY4" s="229"/>
      <c r="BZ4" s="122" t="s">
        <v>12</v>
      </c>
      <c r="CA4" s="227" t="s">
        <v>100</v>
      </c>
      <c r="CB4" s="228"/>
      <c r="CC4" s="228"/>
      <c r="CD4" s="228"/>
      <c r="CE4" s="228"/>
      <c r="CF4" s="229"/>
      <c r="CG4" s="122" t="s">
        <v>1</v>
      </c>
      <c r="CH4" s="227" t="s">
        <v>102</v>
      </c>
      <c r="CI4" s="228"/>
      <c r="CJ4" s="228"/>
      <c r="CK4" s="228"/>
      <c r="CL4" s="228"/>
      <c r="CM4" s="229"/>
      <c r="CN4" s="122" t="s">
        <v>12</v>
      </c>
      <c r="CO4" s="227" t="s">
        <v>77</v>
      </c>
      <c r="CP4" s="228"/>
      <c r="CQ4" s="228"/>
      <c r="CR4" s="228"/>
      <c r="CS4" s="228"/>
      <c r="CT4" s="229"/>
    </row>
    <row r="5" spans="2:99" ht="21" x14ac:dyDescent="0.35">
      <c r="B5" s="123" t="s">
        <v>56</v>
      </c>
      <c r="C5" s="123" t="s">
        <v>57</v>
      </c>
      <c r="D5" s="123" t="s">
        <v>65</v>
      </c>
      <c r="E5" s="123" t="s">
        <v>58</v>
      </c>
      <c r="F5" s="123" t="s">
        <v>59</v>
      </c>
      <c r="H5" s="217" t="s">
        <v>82</v>
      </c>
      <c r="I5" s="218"/>
      <c r="J5" s="218"/>
      <c r="K5" s="218"/>
      <c r="L5" s="218"/>
      <c r="M5" s="218"/>
      <c r="N5" s="121"/>
      <c r="P5" s="217" t="s">
        <v>23</v>
      </c>
      <c r="Q5" s="218"/>
      <c r="R5" s="218"/>
      <c r="S5" s="218"/>
      <c r="T5" s="218"/>
      <c r="U5" s="219"/>
      <c r="W5" s="224" t="s">
        <v>93</v>
      </c>
      <c r="X5" s="225"/>
      <c r="Y5" s="225"/>
      <c r="Z5" s="225"/>
      <c r="AA5" s="225"/>
      <c r="AB5" s="226"/>
      <c r="AD5" s="224" t="s">
        <v>141</v>
      </c>
      <c r="AE5" s="225"/>
      <c r="AF5" s="225"/>
      <c r="AG5" s="225"/>
      <c r="AH5" s="225"/>
      <c r="AI5" s="226"/>
      <c r="AK5" s="224" t="s">
        <v>94</v>
      </c>
      <c r="AL5" s="225"/>
      <c r="AM5" s="225"/>
      <c r="AN5" s="225"/>
      <c r="AO5" s="225"/>
      <c r="AP5" s="226"/>
      <c r="AR5" s="224" t="s">
        <v>95</v>
      </c>
      <c r="AS5" s="225"/>
      <c r="AT5" s="225"/>
      <c r="AU5" s="225"/>
      <c r="AV5" s="225"/>
      <c r="AW5" s="226"/>
      <c r="AY5" s="224" t="s">
        <v>96</v>
      </c>
      <c r="AZ5" s="225"/>
      <c r="BA5" s="225"/>
      <c r="BB5" s="225"/>
      <c r="BC5" s="225"/>
      <c r="BD5" s="225"/>
      <c r="BF5" s="224" t="s">
        <v>97</v>
      </c>
      <c r="BG5" s="225"/>
      <c r="BH5" s="225"/>
      <c r="BI5" s="225"/>
      <c r="BJ5" s="225"/>
      <c r="BK5" s="226"/>
      <c r="BM5" s="224" t="s">
        <v>98</v>
      </c>
      <c r="BN5" s="225"/>
      <c r="BO5" s="225"/>
      <c r="BP5" s="225"/>
      <c r="BQ5" s="225"/>
      <c r="BR5" s="226"/>
      <c r="BT5" s="224" t="s">
        <v>99</v>
      </c>
      <c r="BU5" s="225"/>
      <c r="BV5" s="225"/>
      <c r="BW5" s="225"/>
      <c r="BX5" s="225"/>
      <c r="BY5" s="226"/>
      <c r="CA5" s="224" t="s">
        <v>101</v>
      </c>
      <c r="CB5" s="225"/>
      <c r="CC5" s="225"/>
      <c r="CD5" s="225"/>
      <c r="CE5" s="225"/>
      <c r="CF5" s="226"/>
      <c r="CH5" s="224" t="s">
        <v>103</v>
      </c>
      <c r="CI5" s="225"/>
      <c r="CJ5" s="225"/>
      <c r="CK5" s="225"/>
      <c r="CL5" s="225"/>
      <c r="CM5" s="226"/>
      <c r="CO5" s="224" t="s">
        <v>105</v>
      </c>
      <c r="CP5" s="225"/>
      <c r="CQ5" s="225"/>
      <c r="CR5" s="225"/>
      <c r="CS5" s="225"/>
      <c r="CT5" s="226"/>
    </row>
    <row r="6" spans="2:99" ht="18.75" x14ac:dyDescent="0.3">
      <c r="B6" s="124" t="s">
        <v>63</v>
      </c>
      <c r="C6" s="124" t="s">
        <v>0</v>
      </c>
      <c r="D6" s="124">
        <v>101</v>
      </c>
      <c r="E6" s="124">
        <v>10000</v>
      </c>
      <c r="F6" s="124"/>
      <c r="H6" s="217" t="s">
        <v>83</v>
      </c>
      <c r="I6" s="218"/>
      <c r="J6" s="218"/>
      <c r="K6" s="218"/>
      <c r="L6" s="218"/>
      <c r="M6" s="218"/>
      <c r="N6" s="121"/>
      <c r="P6" s="217" t="s">
        <v>31</v>
      </c>
      <c r="Q6" s="218"/>
      <c r="R6" s="218"/>
      <c r="S6" s="218"/>
      <c r="T6" s="218"/>
      <c r="U6" s="219"/>
      <c r="W6" s="125" t="s">
        <v>56</v>
      </c>
      <c r="X6" s="126" t="s">
        <v>87</v>
      </c>
      <c r="Y6" s="125" t="s">
        <v>65</v>
      </c>
      <c r="Z6" s="125" t="s">
        <v>106</v>
      </c>
      <c r="AA6" s="125" t="s">
        <v>107</v>
      </c>
      <c r="AB6" s="125" t="s">
        <v>88</v>
      </c>
      <c r="AD6" s="125" t="s">
        <v>56</v>
      </c>
      <c r="AE6" s="126" t="s">
        <v>87</v>
      </c>
      <c r="AF6" s="125" t="s">
        <v>65</v>
      </c>
      <c r="AG6" s="125" t="s">
        <v>106</v>
      </c>
      <c r="AH6" s="125" t="s">
        <v>107</v>
      </c>
      <c r="AI6" s="125" t="s">
        <v>88</v>
      </c>
      <c r="AK6" s="125" t="s">
        <v>56</v>
      </c>
      <c r="AL6" s="126" t="s">
        <v>87</v>
      </c>
      <c r="AM6" s="125" t="s">
        <v>65</v>
      </c>
      <c r="AN6" s="125" t="s">
        <v>106</v>
      </c>
      <c r="AO6" s="125" t="s">
        <v>107</v>
      </c>
      <c r="AP6" s="125" t="s">
        <v>88</v>
      </c>
      <c r="AR6" s="125" t="s">
        <v>56</v>
      </c>
      <c r="AS6" s="126" t="s">
        <v>87</v>
      </c>
      <c r="AT6" s="125" t="s">
        <v>65</v>
      </c>
      <c r="AU6" s="125" t="s">
        <v>106</v>
      </c>
      <c r="AV6" s="125" t="s">
        <v>107</v>
      </c>
      <c r="AW6" s="125" t="s">
        <v>88</v>
      </c>
      <c r="AY6" s="125" t="s">
        <v>56</v>
      </c>
      <c r="AZ6" s="126" t="s">
        <v>87</v>
      </c>
      <c r="BA6" s="125" t="s">
        <v>65</v>
      </c>
      <c r="BB6" s="125" t="s">
        <v>108</v>
      </c>
      <c r="BC6" s="125" t="s">
        <v>109</v>
      </c>
      <c r="BD6" s="125" t="s">
        <v>88</v>
      </c>
      <c r="BF6" s="125" t="s">
        <v>56</v>
      </c>
      <c r="BG6" s="126" t="s">
        <v>87</v>
      </c>
      <c r="BH6" s="125" t="s">
        <v>65</v>
      </c>
      <c r="BI6" s="125" t="s">
        <v>108</v>
      </c>
      <c r="BJ6" s="125" t="s">
        <v>109</v>
      </c>
      <c r="BK6" s="125" t="s">
        <v>88</v>
      </c>
      <c r="BM6" s="125" t="s">
        <v>56</v>
      </c>
      <c r="BN6" s="126" t="s">
        <v>87</v>
      </c>
      <c r="BO6" s="125" t="s">
        <v>65</v>
      </c>
      <c r="BP6" s="125" t="s">
        <v>108</v>
      </c>
      <c r="BQ6" s="125" t="s">
        <v>109</v>
      </c>
      <c r="BR6" s="125" t="s">
        <v>88</v>
      </c>
      <c r="BT6" s="125" t="s">
        <v>56</v>
      </c>
      <c r="BU6" s="126" t="s">
        <v>87</v>
      </c>
      <c r="BV6" s="125" t="s">
        <v>65</v>
      </c>
      <c r="BW6" s="125" t="s">
        <v>108</v>
      </c>
      <c r="BX6" s="125" t="s">
        <v>109</v>
      </c>
      <c r="BY6" s="125" t="s">
        <v>88</v>
      </c>
      <c r="CA6" s="125" t="s">
        <v>56</v>
      </c>
      <c r="CB6" s="126" t="s">
        <v>87</v>
      </c>
      <c r="CC6" s="125" t="s">
        <v>65</v>
      </c>
      <c r="CD6" s="125" t="s">
        <v>106</v>
      </c>
      <c r="CE6" s="125" t="s">
        <v>107</v>
      </c>
      <c r="CF6" s="125" t="s">
        <v>88</v>
      </c>
      <c r="CH6" s="125" t="s">
        <v>56</v>
      </c>
      <c r="CI6" s="126" t="s">
        <v>87</v>
      </c>
      <c r="CJ6" s="125" t="s">
        <v>65</v>
      </c>
      <c r="CK6" s="125" t="s">
        <v>108</v>
      </c>
      <c r="CL6" s="125" t="s">
        <v>109</v>
      </c>
      <c r="CM6" s="125" t="s">
        <v>88</v>
      </c>
      <c r="CO6" s="125" t="s">
        <v>56</v>
      </c>
      <c r="CP6" s="126" t="s">
        <v>87</v>
      </c>
      <c r="CQ6" s="125" t="s">
        <v>65</v>
      </c>
      <c r="CR6" s="125" t="s">
        <v>106</v>
      </c>
      <c r="CS6" s="125" t="s">
        <v>138</v>
      </c>
      <c r="CT6" s="125" t="s">
        <v>88</v>
      </c>
    </row>
    <row r="7" spans="2:99" x14ac:dyDescent="0.25">
      <c r="B7" s="124"/>
      <c r="C7" s="124" t="s">
        <v>60</v>
      </c>
      <c r="D7" s="124">
        <v>301</v>
      </c>
      <c r="E7" s="124"/>
      <c r="F7" s="124">
        <v>10000</v>
      </c>
      <c r="H7" s="127"/>
      <c r="I7" s="127"/>
      <c r="J7" s="127"/>
      <c r="K7" s="127"/>
      <c r="L7" s="127"/>
      <c r="M7" s="127"/>
      <c r="N7" s="127"/>
      <c r="P7" s="128"/>
      <c r="Q7" s="129"/>
      <c r="R7" s="129"/>
      <c r="S7" s="129"/>
      <c r="T7" s="129"/>
      <c r="U7" s="130"/>
      <c r="W7" s="124" t="s">
        <v>63</v>
      </c>
      <c r="X7" s="124"/>
      <c r="Y7" s="124" t="str">
        <f>F4</f>
        <v>J1</v>
      </c>
      <c r="Z7" s="124">
        <f>E6</f>
        <v>10000</v>
      </c>
      <c r="AA7" s="124"/>
      <c r="AB7" s="124">
        <f>Z7</f>
        <v>10000</v>
      </c>
      <c r="AD7" s="131" t="s">
        <v>90</v>
      </c>
      <c r="AE7" s="131"/>
      <c r="AF7" s="131" t="s">
        <v>89</v>
      </c>
      <c r="AG7" s="131">
        <f>E26</f>
        <v>2500</v>
      </c>
      <c r="AH7" s="131"/>
      <c r="AI7" s="131">
        <f>AG7</f>
        <v>2500</v>
      </c>
      <c r="AK7" s="131" t="s">
        <v>91</v>
      </c>
      <c r="AL7" s="131"/>
      <c r="AM7" s="131" t="s">
        <v>89</v>
      </c>
      <c r="AN7" s="131">
        <f>E22</f>
        <v>600</v>
      </c>
      <c r="AO7" s="131"/>
      <c r="AP7" s="131">
        <f>AN7</f>
        <v>600</v>
      </c>
      <c r="AR7" s="131" t="s">
        <v>91</v>
      </c>
      <c r="AS7" s="131"/>
      <c r="AT7" s="131" t="s">
        <v>89</v>
      </c>
      <c r="AU7" s="131">
        <f>E10</f>
        <v>5000</v>
      </c>
      <c r="AV7" s="131"/>
      <c r="AW7" s="131">
        <f>AU7</f>
        <v>5000</v>
      </c>
      <c r="AY7" s="131" t="s">
        <v>63</v>
      </c>
      <c r="AZ7" s="131"/>
      <c r="BA7" s="131" t="s">
        <v>89</v>
      </c>
      <c r="BB7" s="131"/>
      <c r="BC7" s="131">
        <f>F11</f>
        <v>5000</v>
      </c>
      <c r="BD7" s="131">
        <f>BC7</f>
        <v>5000</v>
      </c>
      <c r="BF7" s="131" t="s">
        <v>91</v>
      </c>
      <c r="BG7" s="131"/>
      <c r="BH7" s="131" t="s">
        <v>89</v>
      </c>
      <c r="BI7" s="131"/>
      <c r="BJ7" s="131">
        <f>F27</f>
        <v>2500</v>
      </c>
      <c r="BK7" s="131">
        <f>BJ7</f>
        <v>2500</v>
      </c>
      <c r="BM7" s="131" t="s">
        <v>91</v>
      </c>
      <c r="BN7" s="131"/>
      <c r="BO7" s="131" t="s">
        <v>89</v>
      </c>
      <c r="BP7" s="131"/>
      <c r="BQ7" s="131">
        <f>F15</f>
        <v>1200</v>
      </c>
      <c r="BR7" s="131">
        <f>BQ7</f>
        <v>1200</v>
      </c>
      <c r="BT7" s="131" t="s">
        <v>91</v>
      </c>
      <c r="BU7" s="131"/>
      <c r="BV7" s="131" t="s">
        <v>89</v>
      </c>
      <c r="BW7" s="131"/>
      <c r="BX7" s="131">
        <f>F7</f>
        <v>10000</v>
      </c>
      <c r="BY7" s="131">
        <f>BX7</f>
        <v>10000</v>
      </c>
      <c r="CA7" s="131" t="s">
        <v>91</v>
      </c>
      <c r="CB7" s="131"/>
      <c r="CC7" s="131" t="s">
        <v>89</v>
      </c>
      <c r="CD7" s="131">
        <f>E30</f>
        <v>500</v>
      </c>
      <c r="CE7" s="131"/>
      <c r="CF7" s="131">
        <f>CD7</f>
        <v>500</v>
      </c>
      <c r="CH7" s="131" t="s">
        <v>91</v>
      </c>
      <c r="CI7" s="131"/>
      <c r="CJ7" s="131" t="s">
        <v>89</v>
      </c>
      <c r="CK7" s="131"/>
      <c r="CL7" s="131">
        <f>F39</f>
        <v>10000</v>
      </c>
      <c r="CM7" s="131">
        <f>CL7</f>
        <v>10000</v>
      </c>
      <c r="CO7" s="131" t="s">
        <v>91</v>
      </c>
      <c r="CP7" s="131"/>
      <c r="CQ7" s="131" t="s">
        <v>89</v>
      </c>
      <c r="CR7" s="131">
        <f>E34</f>
        <v>4000</v>
      </c>
      <c r="CS7" s="131"/>
      <c r="CT7" s="131">
        <f>CR7</f>
        <v>4000</v>
      </c>
    </row>
    <row r="8" spans="2:99" x14ac:dyDescent="0.25">
      <c r="B8" s="124"/>
      <c r="C8" s="124" t="s">
        <v>66</v>
      </c>
      <c r="D8" s="124"/>
      <c r="E8" s="124"/>
      <c r="F8" s="124"/>
      <c r="H8" s="127"/>
      <c r="I8" s="127"/>
      <c r="J8" s="132" t="s">
        <v>58</v>
      </c>
      <c r="K8" s="133"/>
      <c r="L8" s="132" t="s">
        <v>59</v>
      </c>
      <c r="M8" s="127"/>
      <c r="N8" s="127"/>
      <c r="P8" s="128"/>
      <c r="Q8" s="134" t="s">
        <v>24</v>
      </c>
      <c r="R8" s="129"/>
      <c r="S8" s="129"/>
      <c r="T8" s="129"/>
      <c r="U8" s="130"/>
      <c r="W8" s="124">
        <v>2</v>
      </c>
      <c r="X8" s="124"/>
      <c r="Y8" s="124" t="str">
        <f>F4</f>
        <v>J1</v>
      </c>
      <c r="Z8" s="124">
        <f>E14</f>
        <v>1200</v>
      </c>
      <c r="AA8" s="124"/>
      <c r="AB8" s="124">
        <f t="shared" ref="AB8:AB13" si="0">AB7+Z8-AA8</f>
        <v>11200</v>
      </c>
      <c r="AD8" s="135"/>
      <c r="AE8" s="135"/>
      <c r="AF8" s="135"/>
      <c r="AG8" s="135"/>
      <c r="AH8" s="135"/>
      <c r="AI8" s="136">
        <f>AI7+AG8-AH8</f>
        <v>2500</v>
      </c>
      <c r="AK8" s="137"/>
      <c r="AL8" s="137"/>
      <c r="AM8" s="137"/>
      <c r="AN8" s="137"/>
      <c r="AO8" s="137"/>
      <c r="AP8" s="137">
        <f>AP7+AN8-AO8</f>
        <v>600</v>
      </c>
      <c r="AR8" s="137"/>
      <c r="AS8" s="137"/>
      <c r="AT8" s="137"/>
      <c r="AU8" s="137"/>
      <c r="AV8" s="137"/>
      <c r="AW8" s="137">
        <f>AW7+AU8-AV8</f>
        <v>5000</v>
      </c>
      <c r="AY8" s="137"/>
      <c r="AZ8" s="137"/>
      <c r="BA8" s="137"/>
      <c r="BB8" s="137"/>
      <c r="BC8" s="137"/>
      <c r="BD8" s="137">
        <f>BD7+BC8-BB8</f>
        <v>5000</v>
      </c>
      <c r="BF8" s="137"/>
      <c r="BG8" s="137"/>
      <c r="BH8" s="137"/>
      <c r="BI8" s="137"/>
      <c r="BJ8" s="137"/>
      <c r="BK8" s="137">
        <f>BK7+BJ8-BI8</f>
        <v>2500</v>
      </c>
      <c r="BM8" s="137"/>
      <c r="BN8" s="137"/>
      <c r="BO8" s="137"/>
      <c r="BP8" s="137"/>
      <c r="BQ8" s="137"/>
      <c r="BR8" s="137">
        <f>BR7+BQ8-BO8</f>
        <v>1200</v>
      </c>
      <c r="BT8" s="137"/>
      <c r="BU8" s="137"/>
      <c r="BV8" s="137"/>
      <c r="BW8" s="137"/>
      <c r="BX8" s="137"/>
      <c r="BY8" s="137">
        <f>BY7+BX8-BW8</f>
        <v>10000</v>
      </c>
      <c r="CA8" s="137"/>
      <c r="CB8" s="137"/>
      <c r="CC8" s="137"/>
      <c r="CD8" s="137"/>
      <c r="CE8" s="137"/>
      <c r="CF8" s="137">
        <f>CF7+CD8-CE8</f>
        <v>500</v>
      </c>
      <c r="CH8" s="124"/>
      <c r="CI8" s="124"/>
      <c r="CJ8" s="124"/>
      <c r="CK8" s="124"/>
      <c r="CL8" s="124"/>
      <c r="CM8" s="124"/>
      <c r="CO8" s="137"/>
      <c r="CP8" s="137"/>
      <c r="CQ8" s="137"/>
      <c r="CR8" s="137"/>
      <c r="CS8" s="137"/>
      <c r="CT8" s="137">
        <f>CT7+CR8-CS8</f>
        <v>4000</v>
      </c>
    </row>
    <row r="9" spans="2:99" x14ac:dyDescent="0.25">
      <c r="B9" s="124"/>
      <c r="C9" s="124"/>
      <c r="D9" s="124"/>
      <c r="E9" s="124"/>
      <c r="F9" s="124"/>
      <c r="H9" s="127"/>
      <c r="I9" s="127" t="s">
        <v>0</v>
      </c>
      <c r="J9" s="127">
        <f>AB14</f>
        <v>15200</v>
      </c>
      <c r="K9" s="127"/>
      <c r="L9" s="127"/>
      <c r="M9" s="127"/>
      <c r="N9" s="127"/>
      <c r="P9" s="128"/>
      <c r="Q9" s="134"/>
      <c r="R9" s="129" t="s">
        <v>16</v>
      </c>
      <c r="S9" s="129"/>
      <c r="T9" s="129">
        <f>L18</f>
        <v>10000</v>
      </c>
      <c r="U9" s="130"/>
      <c r="W9" s="124">
        <v>3</v>
      </c>
      <c r="X9" s="124"/>
      <c r="Y9" s="124" t="str">
        <f>F4</f>
        <v>J1</v>
      </c>
      <c r="Z9" s="124"/>
      <c r="AA9" s="124">
        <f>F19</f>
        <v>900</v>
      </c>
      <c r="AB9" s="124">
        <f t="shared" si="0"/>
        <v>10300</v>
      </c>
      <c r="AD9" s="138"/>
      <c r="AE9" s="139"/>
      <c r="AF9" s="139"/>
      <c r="AG9" s="140">
        <f>SUM(AG7:AG8)</f>
        <v>2500</v>
      </c>
      <c r="AH9" s="124">
        <f>SUM(AH7:AH8)</f>
        <v>0</v>
      </c>
      <c r="AI9" s="141">
        <f>AI8</f>
        <v>2500</v>
      </c>
      <c r="AK9" s="138"/>
      <c r="AL9" s="139"/>
      <c r="AM9" s="139"/>
      <c r="AN9" s="140">
        <f>SUM(AN7:AN8)</f>
        <v>600</v>
      </c>
      <c r="AO9" s="140">
        <f>SUM(AO7:AO8)</f>
        <v>0</v>
      </c>
      <c r="AP9" s="124">
        <f>AP8</f>
        <v>600</v>
      </c>
      <c r="AR9" s="138"/>
      <c r="AS9" s="139"/>
      <c r="AT9" s="139"/>
      <c r="AU9" s="124">
        <f>SUM(AU7:AU8)</f>
        <v>5000</v>
      </c>
      <c r="AV9" s="124">
        <f>SUM(AV7:AV8)</f>
        <v>0</v>
      </c>
      <c r="AW9" s="141">
        <f>AW8</f>
        <v>5000</v>
      </c>
      <c r="AY9" s="138"/>
      <c r="AZ9" s="139"/>
      <c r="BA9" s="139"/>
      <c r="BB9" s="140">
        <f>SUM(BB7:BB8)</f>
        <v>0</v>
      </c>
      <c r="BC9" s="124">
        <f>SUM(BC7:BC8)</f>
        <v>5000</v>
      </c>
      <c r="BD9" s="141">
        <f>BD8</f>
        <v>5000</v>
      </c>
      <c r="BF9" s="138"/>
      <c r="BG9" s="139"/>
      <c r="BH9" s="139"/>
      <c r="BI9" s="140">
        <f>SUM(BI2:BI8)</f>
        <v>0</v>
      </c>
      <c r="BJ9" s="124">
        <f>SUM(BJ2:BJ8)</f>
        <v>2500</v>
      </c>
      <c r="BK9" s="141">
        <f>BK8</f>
        <v>2500</v>
      </c>
      <c r="BM9" s="138"/>
      <c r="BN9" s="139"/>
      <c r="BO9" s="139"/>
      <c r="BP9" s="140">
        <f>SUM(BP7:BP8)</f>
        <v>0</v>
      </c>
      <c r="BQ9" s="140">
        <f>SUM(BQ7:BQ8)</f>
        <v>1200</v>
      </c>
      <c r="BR9" s="141">
        <f>BR8</f>
        <v>1200</v>
      </c>
      <c r="BT9" s="233"/>
      <c r="BU9" s="234"/>
      <c r="BV9" s="235"/>
      <c r="BW9" s="124">
        <f>SUM(BW7:BW8)</f>
        <v>0</v>
      </c>
      <c r="BX9" s="124">
        <f>SUM(BX7:BX8)</f>
        <v>10000</v>
      </c>
      <c r="BY9" s="124">
        <f>BY8</f>
        <v>10000</v>
      </c>
      <c r="CA9" s="233"/>
      <c r="CB9" s="234"/>
      <c r="CC9" s="235"/>
      <c r="CD9" s="124">
        <f>SUM(CD7:CD8)</f>
        <v>500</v>
      </c>
      <c r="CE9" s="124">
        <f>SUM(CE7:CE8)</f>
        <v>0</v>
      </c>
      <c r="CF9" s="124">
        <f>CF8</f>
        <v>500</v>
      </c>
      <c r="CH9" s="233"/>
      <c r="CI9" s="234"/>
      <c r="CJ9" s="235"/>
      <c r="CK9" s="124">
        <f>SUM(CK6:CK7)</f>
        <v>0</v>
      </c>
      <c r="CL9" s="124">
        <f>SUM(CL6:CL7)</f>
        <v>10000</v>
      </c>
      <c r="CM9" s="124">
        <f>CM7</f>
        <v>10000</v>
      </c>
      <c r="CO9" s="233"/>
      <c r="CP9" s="234"/>
      <c r="CQ9" s="235"/>
      <c r="CR9" s="124">
        <f>SUM(CR7:CR8)</f>
        <v>4000</v>
      </c>
      <c r="CS9" s="124">
        <f>SUM(CS7:CS8)</f>
        <v>0</v>
      </c>
      <c r="CT9" s="124">
        <f>CT8</f>
        <v>4000</v>
      </c>
    </row>
    <row r="10" spans="2:99" x14ac:dyDescent="0.25">
      <c r="B10" s="124">
        <v>1</v>
      </c>
      <c r="C10" s="124" t="s">
        <v>61</v>
      </c>
      <c r="D10" s="124">
        <v>157</v>
      </c>
      <c r="E10" s="124">
        <v>5000</v>
      </c>
      <c r="F10" s="124"/>
      <c r="H10" s="127"/>
      <c r="I10" s="127" t="s">
        <v>3</v>
      </c>
      <c r="J10" s="127">
        <f>AI9</f>
        <v>2500</v>
      </c>
      <c r="K10" s="127"/>
      <c r="L10" s="127"/>
      <c r="M10" s="127"/>
      <c r="N10" s="127"/>
      <c r="P10" s="128"/>
      <c r="Q10" s="134" t="s">
        <v>13</v>
      </c>
      <c r="R10" s="129"/>
      <c r="S10" s="129"/>
      <c r="T10" s="129"/>
      <c r="U10" s="130"/>
      <c r="W10" s="124">
        <v>4</v>
      </c>
      <c r="X10" s="124"/>
      <c r="Y10" s="124" t="str">
        <f>F4</f>
        <v>J1</v>
      </c>
      <c r="Z10" s="124"/>
      <c r="AA10" s="124">
        <f>F23</f>
        <v>600</v>
      </c>
      <c r="AB10" s="124">
        <f t="shared" si="0"/>
        <v>9700</v>
      </c>
    </row>
    <row r="11" spans="2:99" ht="21" x14ac:dyDescent="0.35">
      <c r="B11" s="124"/>
      <c r="C11" s="124" t="s">
        <v>64</v>
      </c>
      <c r="D11" s="124">
        <v>200</v>
      </c>
      <c r="E11" s="124"/>
      <c r="F11" s="124">
        <v>5000</v>
      </c>
      <c r="H11" s="127"/>
      <c r="I11" s="127" t="s">
        <v>70</v>
      </c>
      <c r="J11" s="127">
        <f>AP9</f>
        <v>600</v>
      </c>
      <c r="K11" s="127"/>
      <c r="L11" s="127"/>
      <c r="M11" s="127"/>
      <c r="N11" s="127"/>
      <c r="P11" s="128"/>
      <c r="Q11" s="134"/>
      <c r="R11" s="142" t="s">
        <v>25</v>
      </c>
      <c r="S11" s="143">
        <f>J19</f>
        <v>4000</v>
      </c>
      <c r="T11" s="129"/>
      <c r="U11" s="130"/>
      <c r="W11" s="124">
        <v>20</v>
      </c>
      <c r="X11" s="124"/>
      <c r="Y11" s="124" t="str">
        <f>F4</f>
        <v>J1</v>
      </c>
      <c r="Z11" s="124"/>
      <c r="AA11" s="124">
        <f>F31</f>
        <v>500</v>
      </c>
      <c r="AB11" s="124">
        <f t="shared" si="0"/>
        <v>9200</v>
      </c>
      <c r="CO11" s="227" t="s">
        <v>18</v>
      </c>
      <c r="CP11" s="228"/>
      <c r="CQ11" s="228"/>
      <c r="CR11" s="228"/>
      <c r="CS11" s="228"/>
      <c r="CT11" s="229"/>
    </row>
    <row r="12" spans="2:99" ht="21" x14ac:dyDescent="0.35">
      <c r="B12" s="124"/>
      <c r="C12" s="124" t="s">
        <v>67</v>
      </c>
      <c r="D12" s="124"/>
      <c r="E12" s="124"/>
      <c r="F12" s="124"/>
      <c r="H12" s="127"/>
      <c r="I12" s="127" t="s">
        <v>61</v>
      </c>
      <c r="J12" s="127">
        <f>AW9</f>
        <v>5000</v>
      </c>
      <c r="K12" s="127"/>
      <c r="L12" s="127"/>
      <c r="M12" s="127"/>
      <c r="N12" s="127"/>
      <c r="P12" s="128"/>
      <c r="Q12" s="134"/>
      <c r="R12" s="142" t="s">
        <v>170</v>
      </c>
      <c r="S12" s="144">
        <f>J20</f>
        <v>900</v>
      </c>
      <c r="T12" s="129"/>
      <c r="U12" s="130"/>
      <c r="W12" s="124">
        <v>26</v>
      </c>
      <c r="X12" s="124"/>
      <c r="Y12" s="124" t="str">
        <f>F4</f>
        <v>J1</v>
      </c>
      <c r="Z12" s="124"/>
      <c r="AA12" s="124">
        <f>F35</f>
        <v>4000</v>
      </c>
      <c r="AB12" s="124">
        <f t="shared" si="0"/>
        <v>5200</v>
      </c>
      <c r="CO12" s="224" t="s">
        <v>104</v>
      </c>
      <c r="CP12" s="225"/>
      <c r="CQ12" s="225"/>
      <c r="CR12" s="225"/>
      <c r="CS12" s="225"/>
      <c r="CT12" s="226"/>
    </row>
    <row r="13" spans="2:99" ht="18.75" x14ac:dyDescent="0.3">
      <c r="B13" s="124"/>
      <c r="C13" s="124"/>
      <c r="D13" s="124"/>
      <c r="E13" s="124"/>
      <c r="F13" s="124"/>
      <c r="H13" s="127"/>
      <c r="I13" s="127" t="s">
        <v>84</v>
      </c>
      <c r="J13" s="127"/>
      <c r="K13" s="127"/>
      <c r="L13" s="127">
        <f>BD9</f>
        <v>5000</v>
      </c>
      <c r="M13" s="127"/>
      <c r="N13" s="127"/>
      <c r="P13" s="128"/>
      <c r="Q13" s="134"/>
      <c r="R13" s="221" t="s">
        <v>198</v>
      </c>
      <c r="S13" s="221"/>
      <c r="T13" s="129">
        <f>S11+S12</f>
        <v>4900</v>
      </c>
      <c r="U13" s="130"/>
      <c r="W13" s="124">
        <v>31</v>
      </c>
      <c r="X13" s="124"/>
      <c r="Y13" s="124" t="str">
        <f>F4</f>
        <v>J1</v>
      </c>
      <c r="Z13" s="124">
        <f>E38</f>
        <v>10000</v>
      </c>
      <c r="AA13" s="124"/>
      <c r="AB13" s="124">
        <f t="shared" si="0"/>
        <v>15200</v>
      </c>
      <c r="CO13" s="125" t="s">
        <v>56</v>
      </c>
      <c r="CP13" s="126" t="s">
        <v>87</v>
      </c>
      <c r="CQ13" s="125" t="s">
        <v>65</v>
      </c>
      <c r="CR13" s="125" t="s">
        <v>106</v>
      </c>
      <c r="CS13" s="125" t="s">
        <v>107</v>
      </c>
      <c r="CT13" s="125" t="s">
        <v>88</v>
      </c>
    </row>
    <row r="14" spans="2:99" ht="15.75" thickBot="1" x14ac:dyDescent="0.3">
      <c r="B14" s="124">
        <v>2</v>
      </c>
      <c r="C14" s="124" t="s">
        <v>0</v>
      </c>
      <c r="D14" s="124">
        <v>101</v>
      </c>
      <c r="E14" s="124">
        <v>1200</v>
      </c>
      <c r="F14" s="124"/>
      <c r="H14" s="127"/>
      <c r="I14" s="127" t="s">
        <v>7</v>
      </c>
      <c r="J14" s="127"/>
      <c r="K14" s="127"/>
      <c r="L14" s="127">
        <f>BK9</f>
        <v>2500</v>
      </c>
      <c r="M14" s="127"/>
      <c r="N14" s="127"/>
      <c r="P14" s="128"/>
      <c r="Q14" s="134" t="s">
        <v>28</v>
      </c>
      <c r="R14" s="129"/>
      <c r="S14" s="129"/>
      <c r="T14" s="145">
        <f>T9-T13</f>
        <v>5100</v>
      </c>
      <c r="U14" s="130"/>
      <c r="W14" s="138"/>
      <c r="X14" s="139"/>
      <c r="Y14" s="139"/>
      <c r="Z14" s="140">
        <f>SUM(Z7:Z13)</f>
        <v>21200</v>
      </c>
      <c r="AA14" s="124">
        <f>SUM(AA7:AA13)</f>
        <v>6000</v>
      </c>
      <c r="AB14" s="141">
        <f>AB13</f>
        <v>15200</v>
      </c>
      <c r="CO14" s="131" t="s">
        <v>91</v>
      </c>
      <c r="CP14" s="131"/>
      <c r="CQ14" s="131" t="s">
        <v>89</v>
      </c>
      <c r="CR14" s="131">
        <f>E18</f>
        <v>900</v>
      </c>
      <c r="CS14" s="131"/>
      <c r="CT14" s="131">
        <f>CR14</f>
        <v>900</v>
      </c>
    </row>
    <row r="15" spans="2:99" ht="15.75" thickTop="1" x14ac:dyDescent="0.25">
      <c r="B15" s="124"/>
      <c r="C15" s="124" t="s">
        <v>197</v>
      </c>
      <c r="D15" s="124">
        <v>209</v>
      </c>
      <c r="E15" s="124"/>
      <c r="F15" s="124">
        <v>1200</v>
      </c>
      <c r="H15" s="127"/>
      <c r="I15" s="127" t="s">
        <v>85</v>
      </c>
      <c r="J15" s="127"/>
      <c r="K15" s="127"/>
      <c r="L15" s="127">
        <f>BR9</f>
        <v>1200</v>
      </c>
      <c r="M15" s="127"/>
      <c r="N15" s="127"/>
      <c r="P15" s="138"/>
      <c r="Q15" s="139"/>
      <c r="R15" s="139"/>
      <c r="S15" s="139"/>
      <c r="T15" s="139"/>
      <c r="U15" s="146"/>
      <c r="CO15" s="137"/>
      <c r="CP15" s="137"/>
      <c r="CQ15" s="137"/>
      <c r="CR15" s="137"/>
      <c r="CS15" s="137"/>
      <c r="CT15" s="137">
        <f>CT14+CR15-CS15</f>
        <v>900</v>
      </c>
    </row>
    <row r="16" spans="2:99" x14ac:dyDescent="0.25">
      <c r="B16" s="124"/>
      <c r="C16" s="124" t="s">
        <v>68</v>
      </c>
      <c r="D16" s="124"/>
      <c r="E16" s="124"/>
      <c r="F16" s="124"/>
      <c r="H16" s="127"/>
      <c r="I16" s="127" t="s">
        <v>74</v>
      </c>
      <c r="J16" s="127"/>
      <c r="K16" s="127"/>
      <c r="L16" s="127">
        <f>BY9</f>
        <v>10000</v>
      </c>
      <c r="M16" s="127"/>
      <c r="N16" s="127"/>
      <c r="CO16" s="233"/>
      <c r="CP16" s="234"/>
      <c r="CQ16" s="235"/>
      <c r="CR16" s="124">
        <f>SUM(CR14:CR15)</f>
        <v>900</v>
      </c>
      <c r="CS16" s="124">
        <f>SUM(CS14:CS15)</f>
        <v>0</v>
      </c>
      <c r="CT16" s="124">
        <f>CT15</f>
        <v>900</v>
      </c>
    </row>
    <row r="17" spans="2:21" ht="15.75" x14ac:dyDescent="0.25">
      <c r="B17" s="124"/>
      <c r="C17" s="124"/>
      <c r="D17" s="124"/>
      <c r="E17" s="124"/>
      <c r="F17" s="124"/>
      <c r="H17" s="127"/>
      <c r="I17" s="127" t="s">
        <v>75</v>
      </c>
      <c r="J17" s="127">
        <f>CF9</f>
        <v>500</v>
      </c>
      <c r="K17" s="127"/>
      <c r="L17" s="127"/>
      <c r="M17" s="127"/>
      <c r="N17" s="127"/>
      <c r="P17" s="214" t="s">
        <v>22</v>
      </c>
      <c r="Q17" s="215"/>
      <c r="R17" s="215"/>
      <c r="S17" s="215"/>
      <c r="T17" s="215"/>
      <c r="U17" s="216"/>
    </row>
    <row r="18" spans="2:21" ht="15.75" x14ac:dyDescent="0.25">
      <c r="B18" s="124">
        <v>3</v>
      </c>
      <c r="C18" s="124" t="s">
        <v>18</v>
      </c>
      <c r="D18" s="124">
        <v>729</v>
      </c>
      <c r="E18" s="124">
        <v>900</v>
      </c>
      <c r="F18" s="124"/>
      <c r="H18" s="127"/>
      <c r="I18" s="127" t="s">
        <v>86</v>
      </c>
      <c r="J18" s="127"/>
      <c r="K18" s="127"/>
      <c r="L18" s="127">
        <f>CM9</f>
        <v>10000</v>
      </c>
      <c r="M18" s="127"/>
      <c r="N18" s="127"/>
      <c r="P18" s="217" t="s">
        <v>29</v>
      </c>
      <c r="Q18" s="218"/>
      <c r="R18" s="218"/>
      <c r="S18" s="218"/>
      <c r="T18" s="218"/>
      <c r="U18" s="219"/>
    </row>
    <row r="19" spans="2:21" ht="15.75" x14ac:dyDescent="0.25">
      <c r="B19" s="124"/>
      <c r="C19" s="124" t="s">
        <v>62</v>
      </c>
      <c r="D19" s="124">
        <v>101</v>
      </c>
      <c r="E19" s="124"/>
      <c r="F19" s="124">
        <v>900</v>
      </c>
      <c r="H19" s="127"/>
      <c r="I19" s="127" t="s">
        <v>77</v>
      </c>
      <c r="J19" s="127">
        <f>CT9</f>
        <v>4000</v>
      </c>
      <c r="K19" s="127"/>
      <c r="L19" s="127"/>
      <c r="M19" s="127"/>
      <c r="N19" s="127"/>
      <c r="P19" s="217" t="s">
        <v>30</v>
      </c>
      <c r="Q19" s="218"/>
      <c r="R19" s="218"/>
      <c r="S19" s="218"/>
      <c r="T19" s="218"/>
      <c r="U19" s="219"/>
    </row>
    <row r="20" spans="2:21" x14ac:dyDescent="0.25">
      <c r="B20" s="124"/>
      <c r="C20" s="124" t="s">
        <v>69</v>
      </c>
      <c r="D20" s="124"/>
      <c r="E20" s="124"/>
      <c r="F20" s="124"/>
      <c r="H20" s="127"/>
      <c r="I20" s="127" t="s">
        <v>18</v>
      </c>
      <c r="J20" s="127">
        <f>CT16</f>
        <v>900</v>
      </c>
      <c r="K20" s="127"/>
      <c r="L20" s="127"/>
      <c r="M20" s="127"/>
      <c r="N20" s="127"/>
      <c r="P20" s="128"/>
      <c r="Q20" s="129"/>
      <c r="R20" s="129"/>
      <c r="S20" s="129"/>
      <c r="T20" s="129"/>
      <c r="U20" s="130"/>
    </row>
    <row r="21" spans="2:21" ht="19.5" thickBot="1" x14ac:dyDescent="0.35">
      <c r="B21" s="124"/>
      <c r="C21" s="124"/>
      <c r="D21" s="124"/>
      <c r="E21" s="124"/>
      <c r="F21" s="124"/>
      <c r="H21" s="232"/>
      <c r="I21" s="232"/>
      <c r="J21" s="147">
        <f>SUM(J9:J20)</f>
        <v>28700</v>
      </c>
      <c r="K21" s="148"/>
      <c r="L21" s="147">
        <f>SUM(L9:L20)</f>
        <v>28700</v>
      </c>
      <c r="M21" s="127"/>
      <c r="N21" s="127"/>
      <c r="P21" s="128"/>
      <c r="Q21" s="129"/>
      <c r="R21" s="129" t="s">
        <v>32</v>
      </c>
      <c r="S21" s="129"/>
      <c r="T21" s="149">
        <v>0</v>
      </c>
      <c r="U21" s="130"/>
    </row>
    <row r="22" spans="2:21" ht="15.75" thickTop="1" x14ac:dyDescent="0.25">
      <c r="B22" s="124">
        <v>4</v>
      </c>
      <c r="C22" s="124" t="s">
        <v>70</v>
      </c>
      <c r="D22" s="124">
        <v>130</v>
      </c>
      <c r="E22" s="124">
        <v>600</v>
      </c>
      <c r="F22" s="124"/>
      <c r="H22" s="232"/>
      <c r="I22" s="232"/>
      <c r="J22" s="127"/>
      <c r="K22" s="127"/>
      <c r="L22" s="127"/>
      <c r="M22" s="127"/>
      <c r="N22" s="127"/>
      <c r="P22" s="128"/>
      <c r="Q22" s="129"/>
      <c r="R22" s="129" t="s">
        <v>171</v>
      </c>
      <c r="S22" s="129"/>
      <c r="T22" s="129">
        <v>15000</v>
      </c>
      <c r="U22" s="130"/>
    </row>
    <row r="23" spans="2:21" x14ac:dyDescent="0.25">
      <c r="B23" s="124"/>
      <c r="C23" s="124" t="s">
        <v>62</v>
      </c>
      <c r="D23" s="124">
        <v>101</v>
      </c>
      <c r="E23" s="124"/>
      <c r="F23" s="124">
        <v>600</v>
      </c>
      <c r="P23" s="128"/>
      <c r="Q23" s="129"/>
      <c r="R23" s="129"/>
      <c r="S23" s="129"/>
      <c r="T23" s="129"/>
      <c r="U23" s="130"/>
    </row>
    <row r="24" spans="2:21" x14ac:dyDescent="0.25">
      <c r="B24" s="124"/>
      <c r="C24" s="124" t="s">
        <v>71</v>
      </c>
      <c r="D24" s="124"/>
      <c r="E24" s="124"/>
      <c r="F24" s="124"/>
      <c r="P24" s="128"/>
      <c r="Q24" s="129"/>
      <c r="R24" s="129" t="s">
        <v>172</v>
      </c>
      <c r="S24" s="129"/>
      <c r="T24" s="129">
        <f>T14</f>
        <v>5100</v>
      </c>
      <c r="U24" s="130"/>
    </row>
    <row r="25" spans="2:21" x14ac:dyDescent="0.25">
      <c r="B25" s="124"/>
      <c r="C25" s="124"/>
      <c r="D25" s="124"/>
      <c r="E25" s="124"/>
      <c r="F25" s="124"/>
      <c r="P25" s="128"/>
      <c r="Q25" s="129"/>
      <c r="R25" s="129"/>
      <c r="S25" s="129"/>
      <c r="T25" s="129"/>
      <c r="U25" s="130"/>
    </row>
    <row r="26" spans="2:21" x14ac:dyDescent="0.25">
      <c r="B26" s="124">
        <v>5</v>
      </c>
      <c r="C26" s="124" t="s">
        <v>3</v>
      </c>
      <c r="D26" s="124">
        <v>126</v>
      </c>
      <c r="E26" s="124">
        <v>2500</v>
      </c>
      <c r="F26" s="124"/>
      <c r="P26" s="128"/>
      <c r="Q26" s="129"/>
      <c r="R26" s="129" t="s">
        <v>173</v>
      </c>
      <c r="S26" s="129"/>
      <c r="T26" s="129">
        <f>J17</f>
        <v>500</v>
      </c>
      <c r="U26" s="130"/>
    </row>
    <row r="27" spans="2:21" ht="15.75" thickBot="1" x14ac:dyDescent="0.3">
      <c r="B27" s="124"/>
      <c r="C27" s="124" t="s">
        <v>72</v>
      </c>
      <c r="D27" s="124">
        <v>201</v>
      </c>
      <c r="E27" s="124"/>
      <c r="F27" s="124">
        <v>2500</v>
      </c>
      <c r="P27" s="128"/>
      <c r="Q27" s="129"/>
      <c r="R27" s="129" t="s">
        <v>174</v>
      </c>
      <c r="S27" s="129"/>
      <c r="T27" s="145">
        <f>T22+T24-T26</f>
        <v>19600</v>
      </c>
      <c r="U27" s="130"/>
    </row>
    <row r="28" spans="2:21" ht="15.75" thickTop="1" x14ac:dyDescent="0.25">
      <c r="B28" s="124"/>
      <c r="C28" s="124" t="s">
        <v>73</v>
      </c>
      <c r="D28" s="124"/>
      <c r="E28" s="124"/>
      <c r="F28" s="124"/>
      <c r="P28" s="138"/>
      <c r="Q28" s="139"/>
      <c r="R28" s="139"/>
      <c r="S28" s="139"/>
      <c r="T28" s="139"/>
      <c r="U28" s="146"/>
    </row>
    <row r="29" spans="2:21" x14ac:dyDescent="0.25">
      <c r="B29" s="124"/>
      <c r="C29" s="124"/>
      <c r="D29" s="124"/>
      <c r="E29" s="124"/>
      <c r="F29" s="124"/>
    </row>
    <row r="30" spans="2:21" ht="15.75" x14ac:dyDescent="0.25">
      <c r="B30" s="124">
        <v>20</v>
      </c>
      <c r="C30" s="124" t="s">
        <v>100</v>
      </c>
      <c r="D30" s="124">
        <v>306</v>
      </c>
      <c r="E30" s="124">
        <v>500</v>
      </c>
      <c r="F30" s="124"/>
      <c r="P30" s="214" t="s">
        <v>22</v>
      </c>
      <c r="Q30" s="215"/>
      <c r="R30" s="215"/>
      <c r="S30" s="215"/>
      <c r="T30" s="215"/>
      <c r="U30" s="216"/>
    </row>
    <row r="31" spans="2:21" ht="15.75" x14ac:dyDescent="0.25">
      <c r="B31" s="124"/>
      <c r="C31" s="124" t="s">
        <v>62</v>
      </c>
      <c r="D31" s="124">
        <v>101</v>
      </c>
      <c r="E31" s="124"/>
      <c r="F31" s="124">
        <v>500</v>
      </c>
      <c r="P31" s="217" t="s">
        <v>40</v>
      </c>
      <c r="Q31" s="218"/>
      <c r="R31" s="218"/>
      <c r="S31" s="218"/>
      <c r="T31" s="218"/>
      <c r="U31" s="219"/>
    </row>
    <row r="32" spans="2:21" ht="15.75" x14ac:dyDescent="0.25">
      <c r="B32" s="124"/>
      <c r="C32" s="124" t="s">
        <v>78</v>
      </c>
      <c r="D32" s="124"/>
      <c r="E32" s="124"/>
      <c r="F32" s="124"/>
      <c r="P32" s="217" t="s">
        <v>30</v>
      </c>
      <c r="Q32" s="218"/>
      <c r="R32" s="218"/>
      <c r="S32" s="218"/>
      <c r="T32" s="218"/>
      <c r="U32" s="219"/>
    </row>
    <row r="33" spans="2:21" ht="15.75" x14ac:dyDescent="0.25">
      <c r="B33" s="124"/>
      <c r="C33" s="124"/>
      <c r="D33" s="124"/>
      <c r="E33" s="124"/>
      <c r="F33" s="124"/>
      <c r="P33" s="211" t="s">
        <v>39</v>
      </c>
      <c r="Q33" s="212"/>
      <c r="R33" s="212"/>
      <c r="S33" s="212"/>
      <c r="T33" s="212"/>
      <c r="U33" s="213"/>
    </row>
    <row r="34" spans="2:21" x14ac:dyDescent="0.25">
      <c r="B34" s="124">
        <v>26</v>
      </c>
      <c r="C34" s="124" t="s">
        <v>77</v>
      </c>
      <c r="D34" s="124">
        <v>726</v>
      </c>
      <c r="E34" s="124">
        <v>4000</v>
      </c>
      <c r="F34" s="124"/>
      <c r="P34" s="128"/>
      <c r="Q34" s="129" t="s">
        <v>0</v>
      </c>
      <c r="R34" s="129"/>
      <c r="S34" s="129"/>
      <c r="T34" s="129">
        <f>'The Recording Process 2'!J9</f>
        <v>15200</v>
      </c>
      <c r="U34" s="130"/>
    </row>
    <row r="35" spans="2:21" x14ac:dyDescent="0.25">
      <c r="B35" s="124"/>
      <c r="C35" s="124" t="s">
        <v>62</v>
      </c>
      <c r="D35" s="124">
        <v>101</v>
      </c>
      <c r="E35" s="124"/>
      <c r="F35" s="124">
        <v>4000</v>
      </c>
      <c r="P35" s="128"/>
      <c r="Q35" s="129" t="s">
        <v>3</v>
      </c>
      <c r="R35" s="129"/>
      <c r="S35" s="129"/>
      <c r="T35" s="129">
        <f>'The Recording Process 2'!J10</f>
        <v>2500</v>
      </c>
      <c r="U35" s="130"/>
    </row>
    <row r="36" spans="2:21" x14ac:dyDescent="0.25">
      <c r="B36" s="124"/>
      <c r="C36" s="124" t="s">
        <v>76</v>
      </c>
      <c r="D36" s="146"/>
      <c r="E36" s="146"/>
      <c r="F36" s="146"/>
      <c r="P36" s="128"/>
      <c r="Q36" s="129" t="s">
        <v>70</v>
      </c>
      <c r="R36" s="129"/>
      <c r="S36" s="129"/>
      <c r="T36" s="129">
        <f>'The Recording Process 2'!J11</f>
        <v>600</v>
      </c>
      <c r="U36" s="130"/>
    </row>
    <row r="37" spans="2:21" x14ac:dyDescent="0.25">
      <c r="B37" s="124"/>
      <c r="C37" s="124"/>
      <c r="D37" s="124"/>
      <c r="E37" s="124"/>
      <c r="F37" s="124"/>
      <c r="P37" s="128"/>
      <c r="Q37" s="142" t="s">
        <v>61</v>
      </c>
      <c r="R37" s="129"/>
      <c r="S37" s="129"/>
      <c r="T37" s="129">
        <f>'The Recording Process 2'!J12</f>
        <v>5000</v>
      </c>
      <c r="U37" s="130"/>
    </row>
    <row r="38" spans="2:21" ht="19.5" thickBot="1" x14ac:dyDescent="0.35">
      <c r="B38" s="124">
        <v>31</v>
      </c>
      <c r="C38" s="124" t="s">
        <v>0</v>
      </c>
      <c r="D38" s="124">
        <v>101</v>
      </c>
      <c r="E38" s="124">
        <v>10000</v>
      </c>
      <c r="F38" s="124"/>
      <c r="P38" s="128"/>
      <c r="Q38" s="134" t="s">
        <v>36</v>
      </c>
      <c r="R38" s="129"/>
      <c r="S38" s="129"/>
      <c r="T38" s="150">
        <f>SUM(T34:T37)</f>
        <v>23300</v>
      </c>
      <c r="U38" s="130"/>
    </row>
    <row r="39" spans="2:21" ht="15.75" thickTop="1" x14ac:dyDescent="0.25">
      <c r="B39" s="124"/>
      <c r="C39" s="124" t="s">
        <v>79</v>
      </c>
      <c r="D39" s="124">
        <v>400</v>
      </c>
      <c r="E39" s="124"/>
      <c r="F39" s="124">
        <v>10000</v>
      </c>
      <c r="P39" s="128"/>
      <c r="Q39" s="129"/>
      <c r="R39" s="129"/>
      <c r="S39" s="129"/>
      <c r="T39" s="129"/>
      <c r="U39" s="130"/>
    </row>
    <row r="40" spans="2:21" ht="15.75" x14ac:dyDescent="0.25">
      <c r="B40" s="124"/>
      <c r="C40" s="124" t="s">
        <v>80</v>
      </c>
      <c r="D40" s="124"/>
      <c r="E40" s="124"/>
      <c r="F40" s="124"/>
      <c r="P40" s="211" t="s">
        <v>175</v>
      </c>
      <c r="Q40" s="212"/>
      <c r="R40" s="212"/>
      <c r="S40" s="212"/>
      <c r="T40" s="212"/>
      <c r="U40" s="213"/>
    </row>
    <row r="41" spans="2:21" x14ac:dyDescent="0.25">
      <c r="E41" s="151">
        <f>SUM(E6:E40)</f>
        <v>34700</v>
      </c>
      <c r="F41" s="151">
        <f>SUM(F6:F40)</f>
        <v>34700</v>
      </c>
      <c r="P41" s="128"/>
      <c r="Q41" s="129" t="s">
        <v>84</v>
      </c>
      <c r="R41" s="129"/>
      <c r="S41" s="129"/>
      <c r="T41" s="129">
        <f>'The Recording Process 2'!L13</f>
        <v>5000</v>
      </c>
      <c r="U41" s="130"/>
    </row>
    <row r="42" spans="2:21" x14ac:dyDescent="0.25">
      <c r="P42" s="128"/>
      <c r="Q42" s="129" t="s">
        <v>7</v>
      </c>
      <c r="R42" s="129"/>
      <c r="S42" s="129"/>
      <c r="T42" s="129">
        <f>'The Recording Process 2'!L14</f>
        <v>2500</v>
      </c>
      <c r="U42" s="130"/>
    </row>
    <row r="43" spans="2:21" x14ac:dyDescent="0.25">
      <c r="P43" s="128"/>
      <c r="Q43" s="129" t="s">
        <v>85</v>
      </c>
      <c r="R43" s="129"/>
      <c r="S43" s="129"/>
      <c r="T43" s="129">
        <f>'The Recording Process 2'!L15</f>
        <v>1200</v>
      </c>
      <c r="U43" s="130"/>
    </row>
    <row r="44" spans="2:21" ht="15.75" x14ac:dyDescent="0.25">
      <c r="P44" s="128"/>
      <c r="Q44" s="134" t="s">
        <v>199</v>
      </c>
      <c r="R44" s="129"/>
      <c r="S44" s="129"/>
      <c r="T44" s="152">
        <f>SUM(T41:T43)</f>
        <v>8700</v>
      </c>
      <c r="U44" s="130"/>
    </row>
    <row r="45" spans="2:21" x14ac:dyDescent="0.25">
      <c r="P45" s="128"/>
      <c r="Q45" s="129"/>
      <c r="R45" s="129"/>
      <c r="S45" s="129"/>
      <c r="T45" s="129"/>
      <c r="U45" s="130"/>
    </row>
    <row r="46" spans="2:21" ht="15.75" x14ac:dyDescent="0.25">
      <c r="P46" s="211" t="s">
        <v>177</v>
      </c>
      <c r="Q46" s="212"/>
      <c r="R46" s="212"/>
      <c r="S46" s="212"/>
      <c r="T46" s="212"/>
      <c r="U46" s="213"/>
    </row>
    <row r="47" spans="2:21" x14ac:dyDescent="0.25">
      <c r="P47" s="128"/>
      <c r="Q47" s="129"/>
      <c r="R47" s="129"/>
      <c r="S47" s="129"/>
      <c r="T47" s="129"/>
      <c r="U47" s="130"/>
    </row>
    <row r="48" spans="2:21" x14ac:dyDescent="0.25">
      <c r="P48" s="128"/>
      <c r="Q48" s="129" t="s">
        <v>74</v>
      </c>
      <c r="R48" s="129"/>
      <c r="S48" s="129"/>
      <c r="T48" s="129">
        <f>'The Recording Process 2'!L16</f>
        <v>10000</v>
      </c>
      <c r="U48" s="130"/>
    </row>
    <row r="49" spans="16:21" x14ac:dyDescent="0.25">
      <c r="P49" s="128"/>
      <c r="Q49" s="129" t="s">
        <v>75</v>
      </c>
      <c r="R49" s="129"/>
      <c r="S49" s="129"/>
      <c r="T49" s="129">
        <f>'The Recording Process 2'!J17</f>
        <v>500</v>
      </c>
      <c r="U49" s="130"/>
    </row>
    <row r="50" spans="16:21" x14ac:dyDescent="0.25">
      <c r="P50" s="128"/>
      <c r="Q50" s="129" t="s">
        <v>102</v>
      </c>
      <c r="R50" s="129"/>
      <c r="S50" s="129"/>
      <c r="T50" s="129">
        <f>L18</f>
        <v>10000</v>
      </c>
      <c r="U50" s="130"/>
    </row>
    <row r="51" spans="16:21" x14ac:dyDescent="0.25">
      <c r="P51" s="128"/>
      <c r="Q51" s="129" t="s">
        <v>77</v>
      </c>
      <c r="R51" s="129"/>
      <c r="S51" s="129">
        <f>'The Recording Process 2'!L18</f>
        <v>10000</v>
      </c>
      <c r="T51" s="129"/>
      <c r="U51" s="130"/>
    </row>
    <row r="52" spans="16:21" x14ac:dyDescent="0.25">
      <c r="P52" s="128"/>
      <c r="Q52" s="129" t="s">
        <v>18</v>
      </c>
      <c r="R52" s="129"/>
      <c r="S52" s="129">
        <f>J20</f>
        <v>900</v>
      </c>
      <c r="T52" s="129"/>
      <c r="U52" s="130"/>
    </row>
    <row r="53" spans="16:21" x14ac:dyDescent="0.25">
      <c r="P53" s="128"/>
      <c r="Q53" s="129" t="s">
        <v>202</v>
      </c>
      <c r="R53" s="129"/>
      <c r="S53" s="153">
        <f>S51+S52</f>
        <v>10900</v>
      </c>
      <c r="T53" s="129"/>
      <c r="U53" s="130"/>
    </row>
    <row r="54" spans="16:21" x14ac:dyDescent="0.25">
      <c r="P54" s="128"/>
      <c r="Q54" s="134" t="s">
        <v>200</v>
      </c>
      <c r="R54" s="129"/>
      <c r="S54" s="129"/>
      <c r="T54" s="154">
        <f>T48-T49+T50-S53</f>
        <v>8600</v>
      </c>
      <c r="U54" s="130"/>
    </row>
    <row r="55" spans="16:21" x14ac:dyDescent="0.25">
      <c r="P55" s="128"/>
      <c r="Q55" s="129"/>
      <c r="R55" s="129"/>
      <c r="S55" s="129"/>
      <c r="T55" s="129"/>
      <c r="U55" s="130"/>
    </row>
    <row r="56" spans="16:21" ht="19.5" thickBot="1" x14ac:dyDescent="0.35">
      <c r="P56" s="128"/>
      <c r="Q56" s="134" t="s">
        <v>201</v>
      </c>
      <c r="R56" s="129"/>
      <c r="S56" s="129"/>
      <c r="T56" s="150">
        <f>T44+T54</f>
        <v>17300</v>
      </c>
      <c r="U56" s="130"/>
    </row>
    <row r="57" spans="16:21" ht="15.75" thickTop="1" x14ac:dyDescent="0.25">
      <c r="P57" s="138"/>
      <c r="Q57" s="139"/>
      <c r="R57" s="139"/>
      <c r="S57" s="139"/>
      <c r="T57" s="139"/>
      <c r="U57" s="146"/>
    </row>
  </sheetData>
  <mergeCells count="50">
    <mergeCell ref="H21:I22"/>
    <mergeCell ref="CO11:CT11"/>
    <mergeCell ref="CO12:CT12"/>
    <mergeCell ref="CO16:CQ16"/>
    <mergeCell ref="BT2:CU2"/>
    <mergeCell ref="CA9:CC9"/>
    <mergeCell ref="CH4:CM4"/>
    <mergeCell ref="CH5:CM5"/>
    <mergeCell ref="CH9:CJ9"/>
    <mergeCell ref="CO4:CT4"/>
    <mergeCell ref="CO5:CT5"/>
    <mergeCell ref="CO9:CQ9"/>
    <mergeCell ref="BT9:BV9"/>
    <mergeCell ref="AD5:AI5"/>
    <mergeCell ref="AR4:AW4"/>
    <mergeCell ref="H6:M6"/>
    <mergeCell ref="AY2:BR2"/>
    <mergeCell ref="BT4:BY4"/>
    <mergeCell ref="BT5:BY5"/>
    <mergeCell ref="CA4:CF4"/>
    <mergeCell ref="CA5:CF5"/>
    <mergeCell ref="BM4:BR4"/>
    <mergeCell ref="BM5:BR5"/>
    <mergeCell ref="AY4:BD4"/>
    <mergeCell ref="AY5:BD5"/>
    <mergeCell ref="BF4:BK4"/>
    <mergeCell ref="BF5:BK5"/>
    <mergeCell ref="B4:E4"/>
    <mergeCell ref="AR5:AW5"/>
    <mergeCell ref="AK4:AP4"/>
    <mergeCell ref="AK5:AP5"/>
    <mergeCell ref="W4:AB4"/>
    <mergeCell ref="W5:AB5"/>
    <mergeCell ref="AD4:AI4"/>
    <mergeCell ref="P18:U18"/>
    <mergeCell ref="P19:U19"/>
    <mergeCell ref="H4:M4"/>
    <mergeCell ref="H5:M5"/>
    <mergeCell ref="W2:AW2"/>
    <mergeCell ref="P4:U4"/>
    <mergeCell ref="P5:U5"/>
    <mergeCell ref="P6:U6"/>
    <mergeCell ref="R13:S13"/>
    <mergeCell ref="P17:U17"/>
    <mergeCell ref="P46:U46"/>
    <mergeCell ref="P30:U30"/>
    <mergeCell ref="P31:U31"/>
    <mergeCell ref="P32:U32"/>
    <mergeCell ref="P33:U33"/>
    <mergeCell ref="P40:U4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A59"/>
  <sheetViews>
    <sheetView topLeftCell="CS35" zoomScale="91" zoomScaleNormal="91" workbookViewId="0">
      <selection activeCell="CV64" sqref="CV64"/>
    </sheetView>
  </sheetViews>
  <sheetFormatPr defaultRowHeight="15" x14ac:dyDescent="0.25"/>
  <cols>
    <col min="1" max="1" width="4.140625" style="117" customWidth="1"/>
    <col min="2" max="2" width="10.42578125" style="117" bestFit="1" customWidth="1"/>
    <col min="3" max="3" width="46.7109375" style="117" bestFit="1" customWidth="1"/>
    <col min="4" max="4" width="7.140625" style="117" bestFit="1" customWidth="1"/>
    <col min="5" max="5" width="7.5703125" style="117" bestFit="1" customWidth="1"/>
    <col min="6" max="6" width="8.28515625" style="117" bestFit="1" customWidth="1"/>
    <col min="7" max="7" width="3.140625" style="117" customWidth="1"/>
    <col min="8" max="8" width="10.42578125" style="117" bestFit="1" customWidth="1"/>
    <col min="9" max="9" width="51.42578125" style="117" bestFit="1" customWidth="1"/>
    <col min="10" max="10" width="7.140625" style="117" bestFit="1" customWidth="1"/>
    <col min="11" max="11" width="7.5703125" style="117" bestFit="1" customWidth="1"/>
    <col min="12" max="12" width="8.28515625" style="117" bestFit="1" customWidth="1"/>
    <col min="13" max="14" width="3.140625" style="117" customWidth="1"/>
    <col min="15" max="15" width="38.5703125" style="117" bestFit="1" customWidth="1"/>
    <col min="16" max="16" width="8.42578125" style="117" bestFit="1" customWidth="1"/>
    <col min="17" max="17" width="3.5703125" style="117" customWidth="1"/>
    <col min="18" max="18" width="8.42578125" style="117" bestFit="1" customWidth="1"/>
    <col min="19" max="20" width="2.42578125" style="117" customWidth="1"/>
    <col min="21" max="21" width="2" style="117" customWidth="1"/>
    <col min="22" max="22" width="19" style="117" customWidth="1"/>
    <col min="23" max="23" width="11.28515625" style="117" bestFit="1" customWidth="1"/>
    <col min="24" max="24" width="28.5703125" style="117" bestFit="1" customWidth="1"/>
    <col min="25" max="25" width="5.42578125" style="117" bestFit="1" customWidth="1"/>
    <col min="26" max="26" width="10.85546875" style="117" bestFit="1" customWidth="1"/>
    <col min="27" max="28" width="2" style="117" customWidth="1"/>
    <col min="29" max="29" width="12.28515625" style="117" bestFit="1" customWidth="1"/>
    <col min="30" max="30" width="9.140625" style="117"/>
    <col min="31" max="31" width="7.140625" style="117" bestFit="1" customWidth="1"/>
    <col min="32" max="32" width="12.5703125" style="117" bestFit="1" customWidth="1"/>
    <col min="33" max="33" width="11.5703125" style="117" bestFit="1" customWidth="1"/>
    <col min="34" max="34" width="12.5703125" style="117" bestFit="1" customWidth="1"/>
    <col min="35" max="35" width="2.5703125" style="117" customWidth="1"/>
    <col min="36" max="36" width="11.85546875" style="117" bestFit="1" customWidth="1"/>
    <col min="37" max="38" width="9.140625" style="117"/>
    <col min="39" max="39" width="11.5703125" style="117" bestFit="1" customWidth="1"/>
    <col min="40" max="40" width="9.85546875" style="117" bestFit="1" customWidth="1"/>
    <col min="41" max="41" width="12.28515625" style="117" bestFit="1" customWidth="1"/>
    <col min="42" max="42" width="3.28515625" style="117" customWidth="1"/>
    <col min="43" max="43" width="11.85546875" style="117" bestFit="1" customWidth="1"/>
    <col min="44" max="45" width="9.140625" style="117"/>
    <col min="46" max="46" width="10" style="117" bestFit="1" customWidth="1"/>
    <col min="47" max="47" width="9.85546875" style="117" bestFit="1" customWidth="1"/>
    <col min="48" max="48" width="12.28515625" style="117" bestFit="1" customWidth="1"/>
    <col min="49" max="49" width="2.140625" style="117" customWidth="1"/>
    <col min="50" max="50" width="11.85546875" style="117" bestFit="1" customWidth="1"/>
    <col min="51" max="52" width="9.140625" style="117"/>
    <col min="53" max="53" width="11.5703125" style="117" bestFit="1" customWidth="1"/>
    <col min="54" max="54" width="9.85546875" style="117" bestFit="1" customWidth="1"/>
    <col min="55" max="55" width="11.5703125" style="117" bestFit="1" customWidth="1"/>
    <col min="56" max="56" width="4.85546875" style="117" customWidth="1"/>
    <col min="57" max="57" width="11.85546875" style="117" bestFit="1" customWidth="1"/>
    <col min="58" max="59" width="9.140625" style="117"/>
    <col min="60" max="60" width="9.85546875" style="117" bestFit="1" customWidth="1"/>
    <col min="61" max="61" width="11.5703125" style="117" bestFit="1" customWidth="1"/>
    <col min="62" max="62" width="12.28515625" style="117" bestFit="1" customWidth="1"/>
    <col min="63" max="63" width="3.85546875" style="117" customWidth="1"/>
    <col min="64" max="64" width="11.85546875" style="117" bestFit="1" customWidth="1"/>
    <col min="65" max="66" width="9.140625" style="117"/>
    <col min="67" max="67" width="9.85546875" style="117" bestFit="1" customWidth="1"/>
    <col min="68" max="68" width="11.5703125" style="117" bestFit="1" customWidth="1"/>
    <col min="69" max="69" width="12.28515625" style="117" bestFit="1" customWidth="1"/>
    <col min="70" max="70" width="2.85546875" style="117" customWidth="1"/>
    <col min="71" max="71" width="11.42578125" style="117" bestFit="1" customWidth="1"/>
    <col min="72" max="72" width="14.7109375" style="117" bestFit="1" customWidth="1"/>
    <col min="73" max="73" width="5.85546875" style="117" customWidth="1"/>
    <col min="74" max="74" width="9.7109375" style="117" bestFit="1" customWidth="1"/>
    <col min="75" max="75" width="11.5703125" style="117" bestFit="1" customWidth="1"/>
    <col min="76" max="76" width="12.28515625" style="117" bestFit="1" customWidth="1"/>
    <col min="77" max="77" width="3.7109375" style="117" customWidth="1"/>
    <col min="78" max="78" width="11.85546875" style="117" bestFit="1" customWidth="1"/>
    <col min="79" max="80" width="9.140625" style="117"/>
    <col min="81" max="81" width="9.85546875" style="117" bestFit="1" customWidth="1"/>
    <col min="82" max="83" width="12.5703125" style="117" bestFit="1" customWidth="1"/>
    <col min="84" max="84" width="4.5703125" style="117" customWidth="1"/>
    <col min="85" max="87" width="9.140625" style="117"/>
    <col min="88" max="88" width="11.5703125" style="117" bestFit="1" customWidth="1"/>
    <col min="89" max="89" width="11" style="117" bestFit="1" customWidth="1"/>
    <col min="90" max="90" width="12.28515625" style="117" bestFit="1" customWidth="1"/>
    <col min="91" max="91" width="2.42578125" style="117" customWidth="1"/>
    <col min="92" max="94" width="9.140625" style="117"/>
    <col min="95" max="95" width="9.85546875" style="117" bestFit="1" customWidth="1"/>
    <col min="96" max="97" width="12.5703125" style="117" bestFit="1" customWidth="1"/>
    <col min="98" max="98" width="2.42578125" style="117" customWidth="1"/>
    <col min="99" max="99" width="11.85546875" style="117" bestFit="1" customWidth="1"/>
    <col min="100" max="101" width="9.140625" style="117"/>
    <col min="102" max="102" width="11.5703125" style="117" bestFit="1" customWidth="1"/>
    <col min="103" max="103" width="9.85546875" style="117" bestFit="1" customWidth="1"/>
    <col min="104" max="104" width="11.5703125" style="117" bestFit="1" customWidth="1"/>
    <col min="105" max="105" width="2.5703125" style="117" customWidth="1"/>
    <col min="106" max="16384" width="9.140625" style="117"/>
  </cols>
  <sheetData>
    <row r="2" spans="2:105" ht="29.25" thickBot="1" x14ac:dyDescent="0.5">
      <c r="AC2" s="220" t="s">
        <v>39</v>
      </c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118" t="s">
        <v>5</v>
      </c>
      <c r="BE2" s="220" t="s">
        <v>175</v>
      </c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119" t="s">
        <v>1</v>
      </c>
      <c r="BZ2" s="220" t="s">
        <v>177</v>
      </c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</row>
    <row r="4" spans="2:105" ht="26.25" x14ac:dyDescent="0.4">
      <c r="B4" s="222" t="s">
        <v>55</v>
      </c>
      <c r="C4" s="223"/>
      <c r="D4" s="223"/>
      <c r="E4" s="223"/>
      <c r="F4" s="120" t="s">
        <v>89</v>
      </c>
      <c r="H4" s="209" t="s">
        <v>55</v>
      </c>
      <c r="I4" s="210"/>
      <c r="J4" s="210"/>
      <c r="K4" s="210"/>
      <c r="L4" s="61" t="s">
        <v>110</v>
      </c>
      <c r="N4" s="217" t="s">
        <v>81</v>
      </c>
      <c r="O4" s="218"/>
      <c r="P4" s="218"/>
      <c r="Q4" s="218"/>
      <c r="R4" s="218"/>
      <c r="S4" s="218"/>
      <c r="T4" s="158"/>
      <c r="V4" s="214" t="s">
        <v>22</v>
      </c>
      <c r="W4" s="215"/>
      <c r="X4" s="215"/>
      <c r="Y4" s="215"/>
      <c r="Z4" s="215"/>
      <c r="AA4" s="216"/>
      <c r="AC4" s="227" t="s">
        <v>0</v>
      </c>
      <c r="AD4" s="228"/>
      <c r="AE4" s="228"/>
      <c r="AF4" s="228"/>
      <c r="AG4" s="228"/>
      <c r="AH4" s="229"/>
      <c r="AJ4" s="227" t="s">
        <v>3</v>
      </c>
      <c r="AK4" s="228"/>
      <c r="AL4" s="228"/>
      <c r="AM4" s="228"/>
      <c r="AN4" s="228"/>
      <c r="AO4" s="229"/>
      <c r="AQ4" s="227" t="s">
        <v>70</v>
      </c>
      <c r="AR4" s="228"/>
      <c r="AS4" s="228"/>
      <c r="AT4" s="228"/>
      <c r="AU4" s="228"/>
      <c r="AV4" s="229"/>
      <c r="AX4" s="227" t="s">
        <v>61</v>
      </c>
      <c r="AY4" s="228"/>
      <c r="AZ4" s="228"/>
      <c r="BA4" s="228"/>
      <c r="BB4" s="228"/>
      <c r="BC4" s="229"/>
      <c r="BE4" s="230" t="s">
        <v>92</v>
      </c>
      <c r="BF4" s="231"/>
      <c r="BG4" s="231"/>
      <c r="BH4" s="231"/>
      <c r="BI4" s="231"/>
      <c r="BJ4" s="231"/>
      <c r="BK4" s="122" t="s">
        <v>1</v>
      </c>
      <c r="BL4" s="227" t="s">
        <v>7</v>
      </c>
      <c r="BM4" s="228"/>
      <c r="BN4" s="228"/>
      <c r="BO4" s="228"/>
      <c r="BP4" s="228"/>
      <c r="BQ4" s="229"/>
      <c r="BS4" s="227" t="s">
        <v>85</v>
      </c>
      <c r="BT4" s="228"/>
      <c r="BU4" s="228"/>
      <c r="BV4" s="228"/>
      <c r="BW4" s="228"/>
      <c r="BX4" s="229"/>
      <c r="BY4" s="122" t="s">
        <v>1</v>
      </c>
      <c r="BZ4" s="227" t="s">
        <v>74</v>
      </c>
      <c r="CA4" s="228"/>
      <c r="CB4" s="228"/>
      <c r="CC4" s="228"/>
      <c r="CD4" s="228"/>
      <c r="CE4" s="229"/>
      <c r="CF4" s="122" t="s">
        <v>12</v>
      </c>
      <c r="CG4" s="227" t="s">
        <v>100</v>
      </c>
      <c r="CH4" s="228"/>
      <c r="CI4" s="228"/>
      <c r="CJ4" s="228"/>
      <c r="CK4" s="228"/>
      <c r="CL4" s="229"/>
      <c r="CM4" s="122" t="s">
        <v>1</v>
      </c>
      <c r="CN4" s="227" t="s">
        <v>102</v>
      </c>
      <c r="CO4" s="228"/>
      <c r="CP4" s="228"/>
      <c r="CQ4" s="228"/>
      <c r="CR4" s="228"/>
      <c r="CS4" s="229"/>
      <c r="CT4" s="122" t="s">
        <v>12</v>
      </c>
      <c r="CU4" s="227" t="s">
        <v>77</v>
      </c>
      <c r="CV4" s="228"/>
      <c r="CW4" s="228"/>
      <c r="CX4" s="228"/>
      <c r="CY4" s="228"/>
      <c r="CZ4" s="229"/>
    </row>
    <row r="5" spans="2:105" ht="21" x14ac:dyDescent="0.35">
      <c r="B5" s="123" t="s">
        <v>56</v>
      </c>
      <c r="C5" s="123" t="s">
        <v>57</v>
      </c>
      <c r="D5" s="123" t="s">
        <v>65</v>
      </c>
      <c r="E5" s="123" t="s">
        <v>58</v>
      </c>
      <c r="F5" s="123" t="s">
        <v>59</v>
      </c>
      <c r="H5" s="47" t="s">
        <v>56</v>
      </c>
      <c r="I5" s="47" t="s">
        <v>57</v>
      </c>
      <c r="J5" s="47" t="s">
        <v>65</v>
      </c>
      <c r="K5" s="47" t="s">
        <v>58</v>
      </c>
      <c r="L5" s="47" t="s">
        <v>59</v>
      </c>
      <c r="N5" s="217" t="s">
        <v>82</v>
      </c>
      <c r="O5" s="218"/>
      <c r="P5" s="218"/>
      <c r="Q5" s="218"/>
      <c r="R5" s="218"/>
      <c r="S5" s="218"/>
      <c r="T5" s="158"/>
      <c r="V5" s="217" t="s">
        <v>23</v>
      </c>
      <c r="W5" s="218"/>
      <c r="X5" s="218"/>
      <c r="Y5" s="218"/>
      <c r="Z5" s="218"/>
      <c r="AA5" s="219"/>
      <c r="AC5" s="224" t="s">
        <v>93</v>
      </c>
      <c r="AD5" s="225"/>
      <c r="AE5" s="225"/>
      <c r="AF5" s="225"/>
      <c r="AG5" s="225"/>
      <c r="AH5" s="226"/>
      <c r="AJ5" s="224" t="s">
        <v>141</v>
      </c>
      <c r="AK5" s="225"/>
      <c r="AL5" s="225"/>
      <c r="AM5" s="225"/>
      <c r="AN5" s="225"/>
      <c r="AO5" s="226"/>
      <c r="AQ5" s="224" t="s">
        <v>94</v>
      </c>
      <c r="AR5" s="225"/>
      <c r="AS5" s="225"/>
      <c r="AT5" s="225"/>
      <c r="AU5" s="225"/>
      <c r="AV5" s="226"/>
      <c r="AX5" s="224" t="s">
        <v>95</v>
      </c>
      <c r="AY5" s="225"/>
      <c r="AZ5" s="225"/>
      <c r="BA5" s="225"/>
      <c r="BB5" s="225"/>
      <c r="BC5" s="226"/>
      <c r="BE5" s="224" t="s">
        <v>96</v>
      </c>
      <c r="BF5" s="225"/>
      <c r="BG5" s="225"/>
      <c r="BH5" s="225"/>
      <c r="BI5" s="225"/>
      <c r="BJ5" s="225"/>
      <c r="BL5" s="224" t="s">
        <v>97</v>
      </c>
      <c r="BM5" s="225"/>
      <c r="BN5" s="225"/>
      <c r="BO5" s="225"/>
      <c r="BP5" s="225"/>
      <c r="BQ5" s="226"/>
      <c r="BS5" s="224" t="s">
        <v>98</v>
      </c>
      <c r="BT5" s="225"/>
      <c r="BU5" s="225"/>
      <c r="BV5" s="225"/>
      <c r="BW5" s="225"/>
      <c r="BX5" s="226"/>
      <c r="BZ5" s="224" t="s">
        <v>99</v>
      </c>
      <c r="CA5" s="225"/>
      <c r="CB5" s="225"/>
      <c r="CC5" s="225"/>
      <c r="CD5" s="225"/>
      <c r="CE5" s="226"/>
      <c r="CG5" s="224" t="s">
        <v>101</v>
      </c>
      <c r="CH5" s="225"/>
      <c r="CI5" s="225"/>
      <c r="CJ5" s="225"/>
      <c r="CK5" s="225"/>
      <c r="CL5" s="226"/>
      <c r="CN5" s="224" t="s">
        <v>103</v>
      </c>
      <c r="CO5" s="225"/>
      <c r="CP5" s="225"/>
      <c r="CQ5" s="225"/>
      <c r="CR5" s="225"/>
      <c r="CS5" s="226"/>
      <c r="CU5" s="224" t="s">
        <v>105</v>
      </c>
      <c r="CV5" s="225"/>
      <c r="CW5" s="225"/>
      <c r="CX5" s="225"/>
      <c r="CY5" s="225"/>
      <c r="CZ5" s="226"/>
    </row>
    <row r="6" spans="2:105" ht="18.75" x14ac:dyDescent="0.3">
      <c r="B6" s="124" t="s">
        <v>63</v>
      </c>
      <c r="C6" s="124" t="s">
        <v>0</v>
      </c>
      <c r="D6" s="124">
        <v>101</v>
      </c>
      <c r="E6" s="124">
        <v>10000</v>
      </c>
      <c r="F6" s="124"/>
      <c r="H6" s="49"/>
      <c r="I6" s="62" t="s">
        <v>111</v>
      </c>
      <c r="J6" s="49"/>
      <c r="K6" s="49"/>
      <c r="L6" s="49"/>
      <c r="N6" s="217" t="s">
        <v>83</v>
      </c>
      <c r="O6" s="218"/>
      <c r="P6" s="218"/>
      <c r="Q6" s="218"/>
      <c r="R6" s="218"/>
      <c r="S6" s="218"/>
      <c r="T6" s="158"/>
      <c r="V6" s="217" t="s">
        <v>31</v>
      </c>
      <c r="W6" s="218"/>
      <c r="X6" s="218"/>
      <c r="Y6" s="218"/>
      <c r="Z6" s="218"/>
      <c r="AA6" s="219"/>
      <c r="AC6" s="125" t="s">
        <v>56</v>
      </c>
      <c r="AD6" s="126" t="s">
        <v>87</v>
      </c>
      <c r="AE6" s="125" t="s">
        <v>65</v>
      </c>
      <c r="AF6" s="125" t="s">
        <v>106</v>
      </c>
      <c r="AG6" s="125" t="s">
        <v>107</v>
      </c>
      <c r="AH6" s="125" t="s">
        <v>88</v>
      </c>
      <c r="AJ6" s="125" t="s">
        <v>56</v>
      </c>
      <c r="AK6" s="126" t="s">
        <v>87</v>
      </c>
      <c r="AL6" s="125" t="s">
        <v>65</v>
      </c>
      <c r="AM6" s="125" t="s">
        <v>106</v>
      </c>
      <c r="AN6" s="125" t="s">
        <v>107</v>
      </c>
      <c r="AO6" s="125" t="s">
        <v>88</v>
      </c>
      <c r="AQ6" s="125" t="s">
        <v>56</v>
      </c>
      <c r="AR6" s="126" t="s">
        <v>87</v>
      </c>
      <c r="AS6" s="125" t="s">
        <v>65</v>
      </c>
      <c r="AT6" s="125" t="s">
        <v>106</v>
      </c>
      <c r="AU6" s="125" t="s">
        <v>107</v>
      </c>
      <c r="AV6" s="125" t="s">
        <v>88</v>
      </c>
      <c r="AX6" s="125" t="s">
        <v>56</v>
      </c>
      <c r="AY6" s="126" t="s">
        <v>87</v>
      </c>
      <c r="AZ6" s="125" t="s">
        <v>65</v>
      </c>
      <c r="BA6" s="125" t="s">
        <v>106</v>
      </c>
      <c r="BB6" s="125" t="s">
        <v>107</v>
      </c>
      <c r="BC6" s="125" t="s">
        <v>88</v>
      </c>
      <c r="BE6" s="125" t="s">
        <v>56</v>
      </c>
      <c r="BF6" s="126" t="s">
        <v>87</v>
      </c>
      <c r="BG6" s="125" t="s">
        <v>65</v>
      </c>
      <c r="BH6" s="125" t="s">
        <v>108</v>
      </c>
      <c r="BI6" s="125" t="s">
        <v>109</v>
      </c>
      <c r="BJ6" s="125" t="s">
        <v>88</v>
      </c>
      <c r="BL6" s="125" t="s">
        <v>56</v>
      </c>
      <c r="BM6" s="126" t="s">
        <v>87</v>
      </c>
      <c r="BN6" s="125" t="s">
        <v>65</v>
      </c>
      <c r="BO6" s="125" t="s">
        <v>108</v>
      </c>
      <c r="BP6" s="125" t="s">
        <v>109</v>
      </c>
      <c r="BQ6" s="125" t="s">
        <v>88</v>
      </c>
      <c r="BS6" s="125" t="s">
        <v>56</v>
      </c>
      <c r="BT6" s="126" t="s">
        <v>87</v>
      </c>
      <c r="BU6" s="125" t="s">
        <v>65</v>
      </c>
      <c r="BV6" s="125" t="s">
        <v>108</v>
      </c>
      <c r="BW6" s="125" t="s">
        <v>109</v>
      </c>
      <c r="BX6" s="125" t="s">
        <v>88</v>
      </c>
      <c r="BZ6" s="125" t="s">
        <v>56</v>
      </c>
      <c r="CA6" s="126" t="s">
        <v>87</v>
      </c>
      <c r="CB6" s="125" t="s">
        <v>65</v>
      </c>
      <c r="CC6" s="125" t="s">
        <v>108</v>
      </c>
      <c r="CD6" s="125" t="s">
        <v>109</v>
      </c>
      <c r="CE6" s="125" t="s">
        <v>88</v>
      </c>
      <c r="CG6" s="125" t="s">
        <v>56</v>
      </c>
      <c r="CH6" s="126" t="s">
        <v>87</v>
      </c>
      <c r="CI6" s="125" t="s">
        <v>65</v>
      </c>
      <c r="CJ6" s="125" t="s">
        <v>106</v>
      </c>
      <c r="CK6" s="125" t="s">
        <v>107</v>
      </c>
      <c r="CL6" s="125" t="s">
        <v>88</v>
      </c>
      <c r="CN6" s="125" t="s">
        <v>56</v>
      </c>
      <c r="CO6" s="126" t="s">
        <v>87</v>
      </c>
      <c r="CP6" s="125" t="s">
        <v>65</v>
      </c>
      <c r="CQ6" s="125" t="s">
        <v>108</v>
      </c>
      <c r="CR6" s="125" t="s">
        <v>109</v>
      </c>
      <c r="CS6" s="125" t="s">
        <v>88</v>
      </c>
      <c r="CU6" s="125" t="s">
        <v>56</v>
      </c>
      <c r="CV6" s="126" t="s">
        <v>87</v>
      </c>
      <c r="CW6" s="125" t="s">
        <v>65</v>
      </c>
      <c r="CX6" s="125" t="s">
        <v>106</v>
      </c>
      <c r="CY6" s="125" t="s">
        <v>138</v>
      </c>
      <c r="CZ6" s="125" t="s">
        <v>88</v>
      </c>
    </row>
    <row r="7" spans="2:105" x14ac:dyDescent="0.25">
      <c r="B7" s="124"/>
      <c r="C7" s="124" t="s">
        <v>60</v>
      </c>
      <c r="D7" s="124">
        <v>301</v>
      </c>
      <c r="E7" s="124"/>
      <c r="F7" s="124">
        <v>10000</v>
      </c>
      <c r="H7" s="48" t="s">
        <v>112</v>
      </c>
      <c r="I7" s="49" t="s">
        <v>113</v>
      </c>
      <c r="J7" s="49">
        <v>631</v>
      </c>
      <c r="K7" s="50">
        <v>1500</v>
      </c>
      <c r="L7" s="50"/>
      <c r="N7" s="162"/>
      <c r="O7" s="162"/>
      <c r="P7" s="162"/>
      <c r="Q7" s="162"/>
      <c r="R7" s="162"/>
      <c r="S7" s="162"/>
      <c r="T7" s="162"/>
      <c r="V7" s="128"/>
      <c r="W7" s="129"/>
      <c r="X7" s="129"/>
      <c r="Y7" s="129"/>
      <c r="Z7" s="129"/>
      <c r="AA7" s="130"/>
      <c r="AC7" s="124" t="s">
        <v>63</v>
      </c>
      <c r="AD7" s="124"/>
      <c r="AE7" s="124" t="str">
        <f>F4</f>
        <v>J1</v>
      </c>
      <c r="AF7" s="124">
        <f>E6</f>
        <v>10000</v>
      </c>
      <c r="AG7" s="124"/>
      <c r="AH7" s="124">
        <f>AF7</f>
        <v>10000</v>
      </c>
      <c r="AJ7" s="131" t="s">
        <v>90</v>
      </c>
      <c r="AK7" s="131"/>
      <c r="AL7" s="131" t="s">
        <v>89</v>
      </c>
      <c r="AM7" s="131">
        <f>E26</f>
        <v>2500</v>
      </c>
      <c r="AN7" s="131"/>
      <c r="AO7" s="131">
        <f>AM7</f>
        <v>2500</v>
      </c>
      <c r="AQ7" s="131" t="s">
        <v>91</v>
      </c>
      <c r="AR7" s="131"/>
      <c r="AS7" s="131" t="s">
        <v>89</v>
      </c>
      <c r="AT7" s="131">
        <f>E22</f>
        <v>600</v>
      </c>
      <c r="AU7" s="131"/>
      <c r="AV7" s="131">
        <f>AT7</f>
        <v>600</v>
      </c>
      <c r="AX7" s="131" t="s">
        <v>91</v>
      </c>
      <c r="AY7" s="131"/>
      <c r="AZ7" s="131" t="s">
        <v>89</v>
      </c>
      <c r="BA7" s="131">
        <f>E10</f>
        <v>5000</v>
      </c>
      <c r="BB7" s="131"/>
      <c r="BC7" s="131">
        <f>BA7</f>
        <v>5000</v>
      </c>
      <c r="BE7" s="131" t="s">
        <v>63</v>
      </c>
      <c r="BF7" s="131"/>
      <c r="BG7" s="131" t="s">
        <v>89</v>
      </c>
      <c r="BH7" s="131"/>
      <c r="BI7" s="131">
        <f>F11</f>
        <v>5000</v>
      </c>
      <c r="BJ7" s="131">
        <f>BI7</f>
        <v>5000</v>
      </c>
      <c r="BL7" s="131" t="s">
        <v>91</v>
      </c>
      <c r="BM7" s="131"/>
      <c r="BN7" s="131" t="s">
        <v>89</v>
      </c>
      <c r="BO7" s="131"/>
      <c r="BP7" s="131">
        <f>F27</f>
        <v>2500</v>
      </c>
      <c r="BQ7" s="131">
        <f>BP7</f>
        <v>2500</v>
      </c>
      <c r="BS7" s="131" t="s">
        <v>91</v>
      </c>
      <c r="BT7" s="131"/>
      <c r="BU7" s="131" t="s">
        <v>89</v>
      </c>
      <c r="BV7" s="131"/>
      <c r="BW7" s="131">
        <f>F15</f>
        <v>1200</v>
      </c>
      <c r="BX7" s="131">
        <f>BW7</f>
        <v>1200</v>
      </c>
      <c r="BZ7" s="131" t="s">
        <v>91</v>
      </c>
      <c r="CA7" s="131"/>
      <c r="CB7" s="131" t="s">
        <v>89</v>
      </c>
      <c r="CC7" s="131"/>
      <c r="CD7" s="131">
        <f>F7</f>
        <v>10000</v>
      </c>
      <c r="CE7" s="131">
        <f>CD7</f>
        <v>10000</v>
      </c>
      <c r="CG7" s="131" t="s">
        <v>91</v>
      </c>
      <c r="CH7" s="131"/>
      <c r="CI7" s="131" t="s">
        <v>89</v>
      </c>
      <c r="CJ7" s="131">
        <f>E30</f>
        <v>500</v>
      </c>
      <c r="CK7" s="131"/>
      <c r="CL7" s="131">
        <f>CJ7</f>
        <v>500</v>
      </c>
      <c r="CN7" s="131" t="s">
        <v>91</v>
      </c>
      <c r="CO7" s="131"/>
      <c r="CP7" s="131" t="s">
        <v>89</v>
      </c>
      <c r="CQ7" s="131"/>
      <c r="CR7" s="131">
        <f>F39</f>
        <v>10000</v>
      </c>
      <c r="CS7" s="131">
        <f>CR7</f>
        <v>10000</v>
      </c>
      <c r="CU7" s="131" t="s">
        <v>91</v>
      </c>
      <c r="CV7" s="131"/>
      <c r="CW7" s="131" t="s">
        <v>89</v>
      </c>
      <c r="CX7" s="131">
        <f>E34</f>
        <v>4000</v>
      </c>
      <c r="CY7" s="131"/>
      <c r="CZ7" s="131">
        <f>CX7</f>
        <v>4000</v>
      </c>
    </row>
    <row r="8" spans="2:105" x14ac:dyDescent="0.25">
      <c r="B8" s="124"/>
      <c r="C8" s="124" t="s">
        <v>66</v>
      </c>
      <c r="D8" s="124"/>
      <c r="E8" s="124"/>
      <c r="F8" s="124"/>
      <c r="H8" s="49"/>
      <c r="I8" s="49" t="s">
        <v>114</v>
      </c>
      <c r="J8" s="49">
        <v>126</v>
      </c>
      <c r="K8" s="50"/>
      <c r="L8" s="50">
        <v>1500</v>
      </c>
      <c r="N8" s="162"/>
      <c r="O8" s="162"/>
      <c r="P8" s="163" t="s">
        <v>58</v>
      </c>
      <c r="Q8" s="164"/>
      <c r="R8" s="163" t="s">
        <v>59</v>
      </c>
      <c r="S8" s="162"/>
      <c r="T8" s="162"/>
      <c r="V8" s="128"/>
      <c r="W8" s="134" t="s">
        <v>24</v>
      </c>
      <c r="X8" s="129"/>
      <c r="Y8" s="129"/>
      <c r="Z8" s="129"/>
      <c r="AA8" s="130"/>
      <c r="AC8" s="124">
        <v>2</v>
      </c>
      <c r="AD8" s="124"/>
      <c r="AE8" s="124" t="str">
        <f>F4</f>
        <v>J1</v>
      </c>
      <c r="AF8" s="124">
        <f>E14</f>
        <v>1200</v>
      </c>
      <c r="AG8" s="124"/>
      <c r="AH8" s="124">
        <f t="shared" ref="AH8:AH13" si="0">AH7+AF8-AG8</f>
        <v>11200</v>
      </c>
      <c r="AJ8" s="67" t="s">
        <v>133</v>
      </c>
      <c r="AK8" s="67" t="s">
        <v>132</v>
      </c>
      <c r="AL8" s="67" t="s">
        <v>131</v>
      </c>
      <c r="AM8" s="68"/>
      <c r="AN8" s="68">
        <v>1500</v>
      </c>
      <c r="AO8" s="68">
        <f>AO7+AM8-AN8</f>
        <v>1000</v>
      </c>
      <c r="AQ8" s="67" t="s">
        <v>133</v>
      </c>
      <c r="AR8" s="67" t="s">
        <v>132</v>
      </c>
      <c r="AS8" s="67" t="s">
        <v>131</v>
      </c>
      <c r="AT8" s="68"/>
      <c r="AU8" s="68">
        <v>50</v>
      </c>
      <c r="AV8" s="68">
        <f>AV7+AT8-AU8</f>
        <v>550</v>
      </c>
      <c r="AX8" s="137"/>
      <c r="AY8" s="137"/>
      <c r="AZ8" s="137"/>
      <c r="BA8" s="137"/>
      <c r="BB8" s="137"/>
      <c r="BC8" s="137">
        <f>BC7+BA8-BB8</f>
        <v>5000</v>
      </c>
      <c r="BE8" s="137"/>
      <c r="BF8" s="137"/>
      <c r="BG8" s="137"/>
      <c r="BH8" s="137"/>
      <c r="BI8" s="137"/>
      <c r="BJ8" s="137">
        <f>BJ7+BI8-BH8</f>
        <v>5000</v>
      </c>
      <c r="BL8" s="137"/>
      <c r="BM8" s="137"/>
      <c r="BN8" s="137"/>
      <c r="BO8" s="137"/>
      <c r="BP8" s="137"/>
      <c r="BQ8" s="137">
        <f>BQ7+BP8-BO8</f>
        <v>2500</v>
      </c>
      <c r="BS8" s="137"/>
      <c r="BT8" s="137"/>
      <c r="BU8" s="137"/>
      <c r="BV8" s="137"/>
      <c r="BW8" s="137"/>
      <c r="BX8" s="137">
        <f>BX7+BW8-BU8</f>
        <v>1200</v>
      </c>
      <c r="BZ8" s="137"/>
      <c r="CA8" s="137"/>
      <c r="CB8" s="137"/>
      <c r="CC8" s="137"/>
      <c r="CD8" s="137"/>
      <c r="CE8" s="137">
        <f>CE7+CD8-CC8</f>
        <v>10000</v>
      </c>
      <c r="CG8" s="137"/>
      <c r="CH8" s="137"/>
      <c r="CI8" s="137"/>
      <c r="CJ8" s="137"/>
      <c r="CK8" s="137"/>
      <c r="CL8" s="137">
        <f>CL7+CJ8-CK8</f>
        <v>500</v>
      </c>
      <c r="CN8" s="67" t="s">
        <v>133</v>
      </c>
      <c r="CO8" s="67" t="s">
        <v>132</v>
      </c>
      <c r="CP8" s="67" t="s">
        <v>131</v>
      </c>
      <c r="CQ8" s="68"/>
      <c r="CR8" s="68">
        <v>400</v>
      </c>
      <c r="CS8" s="68">
        <f>CS7+CR8-CQ8</f>
        <v>10400</v>
      </c>
      <c r="CU8" s="137"/>
      <c r="CV8" s="137"/>
      <c r="CW8" s="137"/>
      <c r="CX8" s="137"/>
      <c r="CY8" s="137"/>
      <c r="CZ8" s="137">
        <f>CZ7+CX8-CY8</f>
        <v>4000</v>
      </c>
    </row>
    <row r="9" spans="2:105" x14ac:dyDescent="0.25">
      <c r="B9" s="124"/>
      <c r="C9" s="124"/>
      <c r="D9" s="124"/>
      <c r="E9" s="124"/>
      <c r="F9" s="124"/>
      <c r="H9" s="49"/>
      <c r="I9" s="49" t="s">
        <v>115</v>
      </c>
      <c r="J9" s="49"/>
      <c r="K9" s="50"/>
      <c r="L9" s="50"/>
      <c r="N9" s="162"/>
      <c r="O9" s="162" t="s">
        <v>0</v>
      </c>
      <c r="P9" s="162">
        <f>AH14</f>
        <v>15200</v>
      </c>
      <c r="Q9" s="162"/>
      <c r="R9" s="162"/>
      <c r="S9" s="162"/>
      <c r="T9" s="162"/>
      <c r="V9" s="128"/>
      <c r="W9" s="134"/>
      <c r="X9" s="129" t="s">
        <v>16</v>
      </c>
      <c r="Y9" s="129"/>
      <c r="Z9" s="129">
        <f>R22</f>
        <v>10600</v>
      </c>
      <c r="AA9" s="130"/>
      <c r="AC9" s="124">
        <v>3</v>
      </c>
      <c r="AD9" s="124"/>
      <c r="AE9" s="124" t="str">
        <f>F4</f>
        <v>J1</v>
      </c>
      <c r="AF9" s="124"/>
      <c r="AG9" s="124">
        <f>F19</f>
        <v>900</v>
      </c>
      <c r="AH9" s="124">
        <f t="shared" si="0"/>
        <v>10300</v>
      </c>
      <c r="AJ9" s="138"/>
      <c r="AK9" s="139"/>
      <c r="AL9" s="139"/>
      <c r="AM9" s="140">
        <f>SUM(AM7:AM8)</f>
        <v>2500</v>
      </c>
      <c r="AN9" s="124">
        <f>SUM(AN7:AN8)</f>
        <v>1500</v>
      </c>
      <c r="AO9" s="141">
        <f>AO8</f>
        <v>1000</v>
      </c>
      <c r="AQ9" s="138"/>
      <c r="AR9" s="139"/>
      <c r="AS9" s="139"/>
      <c r="AT9" s="140">
        <f>SUM(AT7:AT8)</f>
        <v>600</v>
      </c>
      <c r="AU9" s="140">
        <f>SUM(AU7:AU8)</f>
        <v>50</v>
      </c>
      <c r="AV9" s="124">
        <f>AV8</f>
        <v>550</v>
      </c>
      <c r="AX9" s="138"/>
      <c r="AY9" s="139"/>
      <c r="AZ9" s="139"/>
      <c r="BA9" s="124">
        <f>SUM(BA7:BA8)</f>
        <v>5000</v>
      </c>
      <c r="BB9" s="124">
        <f>SUM(BB7:BB8)</f>
        <v>0</v>
      </c>
      <c r="BC9" s="141">
        <f>BC8</f>
        <v>5000</v>
      </c>
      <c r="BE9" s="138"/>
      <c r="BF9" s="139"/>
      <c r="BG9" s="139"/>
      <c r="BH9" s="140">
        <f>SUM(BH7:BH8)</f>
        <v>0</v>
      </c>
      <c r="BI9" s="124">
        <f>SUM(BI7:BI8)</f>
        <v>5000</v>
      </c>
      <c r="BJ9" s="141">
        <f>BJ8</f>
        <v>5000</v>
      </c>
      <c r="BL9" s="138"/>
      <c r="BM9" s="139"/>
      <c r="BN9" s="139"/>
      <c r="BO9" s="124">
        <f>SUM(BO7:BO8)</f>
        <v>0</v>
      </c>
      <c r="BP9" s="124">
        <f>SUM(BP7:BP8)</f>
        <v>2500</v>
      </c>
      <c r="BQ9" s="141">
        <f>BQ8</f>
        <v>2500</v>
      </c>
      <c r="BS9" s="138"/>
      <c r="BT9" s="139"/>
      <c r="BU9" s="139"/>
      <c r="BV9" s="140">
        <f>SUM(BV7:BV8)</f>
        <v>0</v>
      </c>
      <c r="BW9" s="140">
        <f>SUM(BW7:BW8)</f>
        <v>1200</v>
      </c>
      <c r="BX9" s="141">
        <f>BX8</f>
        <v>1200</v>
      </c>
      <c r="BZ9" s="233"/>
      <c r="CA9" s="234"/>
      <c r="CB9" s="235"/>
      <c r="CC9" s="124">
        <f>SUM(CC7:CC8)</f>
        <v>0</v>
      </c>
      <c r="CD9" s="124">
        <f>SUM(CD7:CD8)</f>
        <v>10000</v>
      </c>
      <c r="CE9" s="124">
        <f>CE8</f>
        <v>10000</v>
      </c>
      <c r="CG9" s="233"/>
      <c r="CH9" s="234"/>
      <c r="CI9" s="235"/>
      <c r="CJ9" s="124">
        <f>SUM(CJ7:CJ8)</f>
        <v>500</v>
      </c>
      <c r="CK9" s="124">
        <f>SUM(CK7:CK8)</f>
        <v>0</v>
      </c>
      <c r="CL9" s="124">
        <f>CL8</f>
        <v>500</v>
      </c>
      <c r="CN9" s="67" t="s">
        <v>133</v>
      </c>
      <c r="CO9" s="67" t="s">
        <v>132</v>
      </c>
      <c r="CP9" s="67" t="s">
        <v>131</v>
      </c>
      <c r="CQ9" s="68"/>
      <c r="CR9" s="68">
        <v>200</v>
      </c>
      <c r="CS9" s="68">
        <f>CS8+CR9-CQ9</f>
        <v>10600</v>
      </c>
      <c r="CU9" s="233"/>
      <c r="CV9" s="234"/>
      <c r="CW9" s="235"/>
      <c r="CX9" s="124">
        <f>SUM(CX7:CX8)</f>
        <v>4000</v>
      </c>
      <c r="CY9" s="124">
        <f>SUM(CY7:CY8)</f>
        <v>0</v>
      </c>
      <c r="CZ9" s="124">
        <f>CZ8</f>
        <v>4000</v>
      </c>
    </row>
    <row r="10" spans="2:105" x14ac:dyDescent="0.25">
      <c r="B10" s="124">
        <v>1</v>
      </c>
      <c r="C10" s="124" t="s">
        <v>61</v>
      </c>
      <c r="D10" s="124">
        <v>157</v>
      </c>
      <c r="E10" s="124">
        <v>5000</v>
      </c>
      <c r="F10" s="124"/>
      <c r="H10" s="49"/>
      <c r="I10" s="49"/>
      <c r="J10" s="49"/>
      <c r="K10" s="50"/>
      <c r="L10" s="50"/>
      <c r="N10" s="162"/>
      <c r="O10" s="162" t="s">
        <v>2</v>
      </c>
      <c r="P10" s="162">
        <f>AV16</f>
        <v>200</v>
      </c>
      <c r="Q10" s="162"/>
      <c r="R10" s="162"/>
      <c r="S10" s="162"/>
      <c r="T10" s="162"/>
      <c r="V10" s="128"/>
      <c r="W10" s="134" t="s">
        <v>13</v>
      </c>
      <c r="X10" s="129"/>
      <c r="Y10" s="129"/>
      <c r="Z10" s="129"/>
      <c r="AA10" s="130"/>
      <c r="AC10" s="124">
        <v>4</v>
      </c>
      <c r="AD10" s="124"/>
      <c r="AE10" s="124" t="str">
        <f>F4</f>
        <v>J1</v>
      </c>
      <c r="AF10" s="124"/>
      <c r="AG10" s="124">
        <f>F23</f>
        <v>600</v>
      </c>
      <c r="AH10" s="124">
        <f t="shared" si="0"/>
        <v>9700</v>
      </c>
      <c r="CN10" s="233"/>
      <c r="CO10" s="234"/>
      <c r="CP10" s="235"/>
      <c r="CQ10" s="124">
        <f>SUM(CQ6:CQ7)</f>
        <v>0</v>
      </c>
      <c r="CR10" s="124">
        <f>SUM(CR6:CR7)</f>
        <v>10000</v>
      </c>
      <c r="CS10" s="68">
        <f>CS9</f>
        <v>10600</v>
      </c>
    </row>
    <row r="11" spans="2:105" ht="21" x14ac:dyDescent="0.35">
      <c r="B11" s="124"/>
      <c r="C11" s="124" t="s">
        <v>64</v>
      </c>
      <c r="D11" s="124">
        <v>200</v>
      </c>
      <c r="E11" s="124"/>
      <c r="F11" s="124">
        <v>5000</v>
      </c>
      <c r="H11" s="49">
        <v>31</v>
      </c>
      <c r="I11" s="49" t="s">
        <v>116</v>
      </c>
      <c r="J11" s="49">
        <v>722</v>
      </c>
      <c r="K11" s="50">
        <v>50</v>
      </c>
      <c r="L11" s="50"/>
      <c r="N11" s="162"/>
      <c r="O11" s="162" t="s">
        <v>3</v>
      </c>
      <c r="P11" s="162">
        <f>AO9</f>
        <v>1000</v>
      </c>
      <c r="Q11" s="162"/>
      <c r="R11" s="162"/>
      <c r="S11" s="162"/>
      <c r="T11" s="162"/>
      <c r="V11" s="128"/>
      <c r="W11" s="134"/>
      <c r="X11" s="160" t="s">
        <v>25</v>
      </c>
      <c r="Y11" s="143">
        <f t="shared" ref="Y11:Y16" si="1">P23</f>
        <v>5200</v>
      </c>
      <c r="Z11" s="129"/>
      <c r="AA11" s="130"/>
      <c r="AC11" s="124">
        <v>20</v>
      </c>
      <c r="AD11" s="124"/>
      <c r="AE11" s="124" t="str">
        <f>F4</f>
        <v>J1</v>
      </c>
      <c r="AF11" s="124"/>
      <c r="AG11" s="124">
        <f>F31</f>
        <v>500</v>
      </c>
      <c r="AH11" s="124">
        <f t="shared" si="0"/>
        <v>9200</v>
      </c>
      <c r="AQ11" s="205" t="s">
        <v>2</v>
      </c>
      <c r="AR11" s="206"/>
      <c r="AS11" s="206"/>
      <c r="AT11" s="206"/>
      <c r="AU11" s="206"/>
      <c r="AV11" s="206"/>
      <c r="BL11" s="205" t="s">
        <v>129</v>
      </c>
      <c r="BM11" s="206"/>
      <c r="BN11" s="206"/>
      <c r="BO11" s="206"/>
      <c r="BP11" s="206"/>
      <c r="BQ11" s="206"/>
      <c r="CU11" s="227" t="s">
        <v>18</v>
      </c>
      <c r="CV11" s="228"/>
      <c r="CW11" s="228"/>
      <c r="CX11" s="228"/>
      <c r="CY11" s="228"/>
      <c r="CZ11" s="229"/>
    </row>
    <row r="12" spans="2:105" ht="21" x14ac:dyDescent="0.35">
      <c r="B12" s="124"/>
      <c r="C12" s="124" t="s">
        <v>67</v>
      </c>
      <c r="D12" s="124"/>
      <c r="E12" s="124"/>
      <c r="F12" s="124"/>
      <c r="H12" s="49"/>
      <c r="I12" s="49" t="s">
        <v>117</v>
      </c>
      <c r="J12" s="49">
        <v>130</v>
      </c>
      <c r="K12" s="50"/>
      <c r="L12" s="50">
        <v>50</v>
      </c>
      <c r="N12" s="162"/>
      <c r="O12" s="162" t="s">
        <v>70</v>
      </c>
      <c r="P12" s="162">
        <f>AV9</f>
        <v>550</v>
      </c>
      <c r="Q12" s="162"/>
      <c r="R12" s="162"/>
      <c r="S12" s="162"/>
      <c r="T12" s="162"/>
      <c r="V12" s="128"/>
      <c r="W12" s="129"/>
      <c r="X12" s="17" t="s">
        <v>113</v>
      </c>
      <c r="Y12" s="129">
        <f t="shared" si="1"/>
        <v>1500</v>
      </c>
      <c r="Z12" s="129"/>
      <c r="AA12" s="130"/>
      <c r="AC12" s="124">
        <v>26</v>
      </c>
      <c r="AD12" s="124"/>
      <c r="AE12" s="124" t="str">
        <f>F4</f>
        <v>J1</v>
      </c>
      <c r="AF12" s="124"/>
      <c r="AG12" s="124">
        <f>F35</f>
        <v>4000</v>
      </c>
      <c r="AH12" s="124">
        <f t="shared" si="0"/>
        <v>5200</v>
      </c>
      <c r="AQ12" s="207" t="s">
        <v>140</v>
      </c>
      <c r="AR12" s="208"/>
      <c r="AS12" s="208"/>
      <c r="AT12" s="208"/>
      <c r="AU12" s="208"/>
      <c r="AV12" s="208"/>
      <c r="BL12" s="207" t="s">
        <v>130</v>
      </c>
      <c r="BM12" s="208"/>
      <c r="BN12" s="208"/>
      <c r="BO12" s="208"/>
      <c r="BP12" s="208"/>
      <c r="BQ12" s="208"/>
      <c r="CU12" s="224" t="s">
        <v>104</v>
      </c>
      <c r="CV12" s="225"/>
      <c r="CW12" s="225"/>
      <c r="CX12" s="225"/>
      <c r="CY12" s="225"/>
      <c r="CZ12" s="226"/>
    </row>
    <row r="13" spans="2:105" ht="18.75" x14ac:dyDescent="0.3">
      <c r="B13" s="124"/>
      <c r="C13" s="124"/>
      <c r="D13" s="124"/>
      <c r="E13" s="124"/>
      <c r="F13" s="124"/>
      <c r="H13" s="49"/>
      <c r="I13" s="49" t="s">
        <v>121</v>
      </c>
      <c r="J13" s="49"/>
      <c r="K13" s="50"/>
      <c r="L13" s="50"/>
      <c r="N13" s="162"/>
      <c r="O13" s="162" t="s">
        <v>61</v>
      </c>
      <c r="P13" s="162">
        <f>BC9</f>
        <v>5000</v>
      </c>
      <c r="Q13" s="162"/>
      <c r="R13" s="162"/>
      <c r="S13" s="162"/>
      <c r="T13" s="162"/>
      <c r="V13" s="128"/>
      <c r="W13" s="129"/>
      <c r="X13" s="17" t="s">
        <v>18</v>
      </c>
      <c r="Y13" s="129">
        <f t="shared" si="1"/>
        <v>900</v>
      </c>
      <c r="Z13" s="129"/>
      <c r="AA13" s="130"/>
      <c r="AC13" s="124">
        <v>31</v>
      </c>
      <c r="AD13" s="124"/>
      <c r="AE13" s="124" t="str">
        <f>F4</f>
        <v>J1</v>
      </c>
      <c r="AF13" s="124">
        <f>E38</f>
        <v>10000</v>
      </c>
      <c r="AG13" s="124"/>
      <c r="AH13" s="124">
        <f t="shared" si="0"/>
        <v>15200</v>
      </c>
      <c r="AQ13" s="45" t="s">
        <v>56</v>
      </c>
      <c r="AR13" s="57" t="s">
        <v>87</v>
      </c>
      <c r="AS13" s="45" t="s">
        <v>65</v>
      </c>
      <c r="AT13" s="45" t="s">
        <v>106</v>
      </c>
      <c r="AU13" s="45" t="s">
        <v>107</v>
      </c>
      <c r="AV13" s="45" t="s">
        <v>88</v>
      </c>
      <c r="BL13" s="45" t="s">
        <v>56</v>
      </c>
      <c r="BM13" s="57" t="s">
        <v>87</v>
      </c>
      <c r="BN13" s="45" t="s">
        <v>65</v>
      </c>
      <c r="BO13" s="45" t="s">
        <v>108</v>
      </c>
      <c r="BP13" s="45" t="s">
        <v>109</v>
      </c>
      <c r="BQ13" s="45" t="s">
        <v>88</v>
      </c>
      <c r="CU13" s="125" t="s">
        <v>56</v>
      </c>
      <c r="CV13" s="126" t="s">
        <v>87</v>
      </c>
      <c r="CW13" s="125" t="s">
        <v>65</v>
      </c>
      <c r="CX13" s="125" t="s">
        <v>106</v>
      </c>
      <c r="CY13" s="125" t="s">
        <v>107</v>
      </c>
      <c r="CZ13" s="125" t="s">
        <v>88</v>
      </c>
    </row>
    <row r="14" spans="2:105" x14ac:dyDescent="0.25">
      <c r="B14" s="124">
        <v>2</v>
      </c>
      <c r="C14" s="124" t="s">
        <v>0</v>
      </c>
      <c r="D14" s="124">
        <v>101</v>
      </c>
      <c r="E14" s="124">
        <v>1200</v>
      </c>
      <c r="F14" s="124"/>
      <c r="H14" s="49"/>
      <c r="I14" s="49"/>
      <c r="J14" s="49"/>
      <c r="K14" s="50"/>
      <c r="L14" s="50"/>
      <c r="N14" s="162"/>
      <c r="O14" s="162" t="s">
        <v>179</v>
      </c>
      <c r="P14" s="162"/>
      <c r="Q14" s="162"/>
      <c r="R14" s="162">
        <f>AO23</f>
        <v>40</v>
      </c>
      <c r="S14" s="162"/>
      <c r="T14" s="162"/>
      <c r="V14" s="128"/>
      <c r="W14" s="129"/>
      <c r="X14" s="17" t="s">
        <v>116</v>
      </c>
      <c r="Y14" s="129">
        <f t="shared" si="1"/>
        <v>50</v>
      </c>
      <c r="Z14" s="129"/>
      <c r="AA14" s="130"/>
      <c r="AC14" s="138"/>
      <c r="AD14" s="139"/>
      <c r="AE14" s="139"/>
      <c r="AF14" s="140">
        <f>SUM(AF7:AF13)</f>
        <v>21200</v>
      </c>
      <c r="AG14" s="124">
        <f>SUM(AG7:AG13)</f>
        <v>6000</v>
      </c>
      <c r="AH14" s="141">
        <f>AH13</f>
        <v>15200</v>
      </c>
      <c r="AQ14" s="67" t="s">
        <v>133</v>
      </c>
      <c r="AR14" s="67" t="s">
        <v>132</v>
      </c>
      <c r="AS14" s="67" t="s">
        <v>131</v>
      </c>
      <c r="AT14" s="68">
        <v>200</v>
      </c>
      <c r="AU14" s="68"/>
      <c r="AV14" s="68">
        <f>AT14</f>
        <v>200</v>
      </c>
      <c r="BL14" s="67" t="s">
        <v>133</v>
      </c>
      <c r="BM14" s="67" t="s">
        <v>132</v>
      </c>
      <c r="BN14" s="67" t="s">
        <v>131</v>
      </c>
      <c r="BO14" s="68"/>
      <c r="BP14" s="68">
        <v>50</v>
      </c>
      <c r="BQ14" s="68">
        <f>BP14</f>
        <v>50</v>
      </c>
      <c r="CU14" s="131" t="s">
        <v>91</v>
      </c>
      <c r="CV14" s="131"/>
      <c r="CW14" s="131" t="s">
        <v>89</v>
      </c>
      <c r="CX14" s="131">
        <f>E18</f>
        <v>900</v>
      </c>
      <c r="CY14" s="131"/>
      <c r="CZ14" s="131">
        <f>CX14</f>
        <v>900</v>
      </c>
    </row>
    <row r="15" spans="2:105" x14ac:dyDescent="0.25">
      <c r="B15" s="124"/>
      <c r="C15" s="124" t="s">
        <v>197</v>
      </c>
      <c r="D15" s="124">
        <v>209</v>
      </c>
      <c r="E15" s="124"/>
      <c r="F15" s="124">
        <v>1200</v>
      </c>
      <c r="H15" s="49">
        <v>31</v>
      </c>
      <c r="I15" s="49" t="s">
        <v>118</v>
      </c>
      <c r="J15" s="49">
        <v>711</v>
      </c>
      <c r="K15" s="50">
        <v>40</v>
      </c>
      <c r="L15" s="50"/>
      <c r="N15" s="162"/>
      <c r="O15" s="162" t="s">
        <v>84</v>
      </c>
      <c r="P15" s="162"/>
      <c r="Q15" s="162"/>
      <c r="R15" s="162">
        <f>BJ9</f>
        <v>5000</v>
      </c>
      <c r="S15" s="162"/>
      <c r="T15" s="162"/>
      <c r="V15" s="128"/>
      <c r="W15" s="129"/>
      <c r="X15" s="17" t="s">
        <v>123</v>
      </c>
      <c r="Y15" s="129">
        <f t="shared" si="1"/>
        <v>50</v>
      </c>
      <c r="Z15" s="129"/>
      <c r="AA15" s="130"/>
      <c r="AQ15" s="44"/>
      <c r="AR15" s="44"/>
      <c r="AS15" s="44"/>
      <c r="AT15" s="59"/>
      <c r="AU15" s="59"/>
      <c r="AV15" s="59">
        <f>AV14+AT15-AU15</f>
        <v>200</v>
      </c>
      <c r="BL15" s="67"/>
      <c r="BM15" s="67"/>
      <c r="BN15" s="67"/>
      <c r="BO15" s="68"/>
      <c r="BP15" s="68"/>
      <c r="BQ15" s="68">
        <f>BQ14+BP15-BO15</f>
        <v>50</v>
      </c>
      <c r="CU15" s="137"/>
      <c r="CV15" s="137"/>
      <c r="CW15" s="137"/>
      <c r="CX15" s="137"/>
      <c r="CY15" s="137"/>
      <c r="CZ15" s="137">
        <f>CZ14+CX15-CY15</f>
        <v>900</v>
      </c>
    </row>
    <row r="16" spans="2:105" x14ac:dyDescent="0.25">
      <c r="B16" s="124"/>
      <c r="C16" s="124" t="s">
        <v>68</v>
      </c>
      <c r="D16" s="124"/>
      <c r="E16" s="124"/>
      <c r="F16" s="124"/>
      <c r="H16" s="49"/>
      <c r="I16" s="49" t="s">
        <v>119</v>
      </c>
      <c r="J16" s="49">
        <v>158</v>
      </c>
      <c r="K16" s="50"/>
      <c r="L16" s="50">
        <v>40</v>
      </c>
      <c r="N16" s="162"/>
      <c r="O16" s="162" t="s">
        <v>7</v>
      </c>
      <c r="P16" s="162"/>
      <c r="Q16" s="162"/>
      <c r="R16" s="162">
        <f>BQ9</f>
        <v>2500</v>
      </c>
      <c r="S16" s="162"/>
      <c r="T16" s="162"/>
      <c r="V16" s="128"/>
      <c r="W16" s="129"/>
      <c r="X16" s="17" t="s">
        <v>118</v>
      </c>
      <c r="Y16" s="139">
        <f t="shared" si="1"/>
        <v>40</v>
      </c>
      <c r="Z16" s="129"/>
      <c r="AA16" s="130"/>
      <c r="AQ16" s="138"/>
      <c r="AR16" s="139"/>
      <c r="AS16" s="139"/>
      <c r="AT16" s="140">
        <f>SUM(AT14:AT15)</f>
        <v>200</v>
      </c>
      <c r="AU16" s="140">
        <f>SUM(AU14:AU15)</f>
        <v>0</v>
      </c>
      <c r="AV16" s="124">
        <f>AV15</f>
        <v>200</v>
      </c>
      <c r="BL16" s="138"/>
      <c r="BM16" s="139"/>
      <c r="BN16" s="139"/>
      <c r="BO16" s="124">
        <f>SUM(BO14:BO15)</f>
        <v>0</v>
      </c>
      <c r="BP16" s="124">
        <f>SUM(BP14:BP15)</f>
        <v>50</v>
      </c>
      <c r="BQ16" s="141">
        <f>BQ15</f>
        <v>50</v>
      </c>
      <c r="CU16" s="233"/>
      <c r="CV16" s="234"/>
      <c r="CW16" s="235"/>
      <c r="CX16" s="124">
        <f>SUM(CX14:CX15)</f>
        <v>900</v>
      </c>
      <c r="CY16" s="124">
        <f>SUM(CY14:CY15)</f>
        <v>0</v>
      </c>
      <c r="CZ16" s="124">
        <f>CZ15</f>
        <v>900</v>
      </c>
    </row>
    <row r="17" spans="2:104" x14ac:dyDescent="0.25">
      <c r="B17" s="124"/>
      <c r="C17" s="124"/>
      <c r="D17" s="124"/>
      <c r="E17" s="124"/>
      <c r="F17" s="124"/>
      <c r="H17" s="49"/>
      <c r="I17" s="49" t="s">
        <v>120</v>
      </c>
      <c r="J17" s="49"/>
      <c r="K17" s="50"/>
      <c r="L17" s="50"/>
      <c r="N17" s="162"/>
      <c r="O17" s="162" t="s">
        <v>148</v>
      </c>
      <c r="P17" s="162"/>
      <c r="Q17" s="162"/>
      <c r="R17" s="162">
        <f>BQ16</f>
        <v>50</v>
      </c>
      <c r="S17" s="162"/>
      <c r="T17" s="162"/>
      <c r="V17" s="128"/>
      <c r="W17" s="129"/>
      <c r="X17" s="221" t="s">
        <v>198</v>
      </c>
      <c r="Y17" s="221"/>
      <c r="Z17" s="139">
        <f>SUM(Y11:Y16)</f>
        <v>7740</v>
      </c>
      <c r="AA17" s="130"/>
    </row>
    <row r="18" spans="2:104" ht="21.75" thickBot="1" x14ac:dyDescent="0.4">
      <c r="B18" s="124">
        <v>3</v>
      </c>
      <c r="C18" s="124" t="s">
        <v>18</v>
      </c>
      <c r="D18" s="124">
        <v>729</v>
      </c>
      <c r="E18" s="124">
        <v>900</v>
      </c>
      <c r="F18" s="124"/>
      <c r="H18" s="49"/>
      <c r="I18" s="49"/>
      <c r="J18" s="49"/>
      <c r="K18" s="50"/>
      <c r="L18" s="50"/>
      <c r="N18" s="162"/>
      <c r="O18" s="162" t="s">
        <v>85</v>
      </c>
      <c r="P18" s="162"/>
      <c r="Q18" s="162"/>
      <c r="R18" s="162">
        <f>CZ44</f>
        <v>800</v>
      </c>
      <c r="S18" s="162"/>
      <c r="T18" s="162"/>
      <c r="V18" s="128"/>
      <c r="W18" s="134" t="s">
        <v>28</v>
      </c>
      <c r="X18" s="129"/>
      <c r="Y18" s="129"/>
      <c r="Z18" s="169">
        <f>Z9-Z17</f>
        <v>2860</v>
      </c>
      <c r="AA18" s="130"/>
      <c r="AJ18" s="205" t="s">
        <v>149</v>
      </c>
      <c r="AK18" s="206"/>
      <c r="AL18" s="206"/>
      <c r="AM18" s="206"/>
      <c r="AN18" s="206"/>
      <c r="AO18" s="206"/>
      <c r="BL18" s="205" t="s">
        <v>203</v>
      </c>
      <c r="BM18" s="206"/>
      <c r="BN18" s="206"/>
      <c r="BO18" s="206"/>
      <c r="BP18" s="206"/>
      <c r="BQ18" s="206"/>
      <c r="CU18" s="205" t="s">
        <v>116</v>
      </c>
      <c r="CV18" s="206"/>
      <c r="CW18" s="206"/>
      <c r="CX18" s="206"/>
      <c r="CY18" s="206"/>
      <c r="CZ18" s="206"/>
    </row>
    <row r="19" spans="2:104" ht="21.75" thickTop="1" x14ac:dyDescent="0.35">
      <c r="B19" s="124"/>
      <c r="C19" s="124" t="s">
        <v>62</v>
      </c>
      <c r="D19" s="124">
        <v>101</v>
      </c>
      <c r="E19" s="124"/>
      <c r="F19" s="124">
        <v>900</v>
      </c>
      <c r="H19" s="49">
        <v>31</v>
      </c>
      <c r="I19" s="49" t="s">
        <v>85</v>
      </c>
      <c r="J19" s="49">
        <v>209</v>
      </c>
      <c r="K19" s="50">
        <v>400</v>
      </c>
      <c r="L19" s="50"/>
      <c r="N19" s="162"/>
      <c r="O19" s="162" t="s">
        <v>147</v>
      </c>
      <c r="P19" s="162"/>
      <c r="Q19" s="162"/>
      <c r="R19" s="162">
        <f>'Adjusting the Accounts 3'!BQ23</f>
        <v>1200</v>
      </c>
      <c r="S19" s="162"/>
      <c r="T19" s="162"/>
      <c r="V19" s="138"/>
      <c r="W19" s="139"/>
      <c r="X19" s="139"/>
      <c r="Y19" s="139"/>
      <c r="Z19" s="139"/>
      <c r="AA19" s="146"/>
      <c r="AJ19" s="207" t="s">
        <v>143</v>
      </c>
      <c r="AK19" s="208"/>
      <c r="AL19" s="208"/>
      <c r="AM19" s="208"/>
      <c r="AN19" s="208"/>
      <c r="AO19" s="208"/>
      <c r="BL19" s="207" t="s">
        <v>144</v>
      </c>
      <c r="BM19" s="208"/>
      <c r="BN19" s="208"/>
      <c r="BO19" s="208"/>
      <c r="BP19" s="208"/>
      <c r="BQ19" s="208"/>
      <c r="CU19" s="207" t="s">
        <v>135</v>
      </c>
      <c r="CV19" s="208"/>
      <c r="CW19" s="208"/>
      <c r="CX19" s="208"/>
      <c r="CY19" s="208"/>
      <c r="CZ19" s="208"/>
    </row>
    <row r="20" spans="2:104" ht="18.75" x14ac:dyDescent="0.3">
      <c r="B20" s="124"/>
      <c r="C20" s="124" t="s">
        <v>69</v>
      </c>
      <c r="D20" s="124"/>
      <c r="E20" s="124"/>
      <c r="F20" s="124"/>
      <c r="H20" s="49"/>
      <c r="I20" s="49" t="s">
        <v>79</v>
      </c>
      <c r="J20" s="49">
        <v>400</v>
      </c>
      <c r="K20" s="50"/>
      <c r="L20" s="50">
        <v>400</v>
      </c>
      <c r="N20" s="162"/>
      <c r="O20" s="162" t="s">
        <v>74</v>
      </c>
      <c r="P20" s="162"/>
      <c r="Q20" s="162"/>
      <c r="R20" s="162">
        <f>CE9</f>
        <v>10000</v>
      </c>
      <c r="S20" s="162"/>
      <c r="T20" s="162"/>
      <c r="AJ20" s="45" t="s">
        <v>56</v>
      </c>
      <c r="AK20" s="57" t="s">
        <v>87</v>
      </c>
      <c r="AL20" s="45" t="s">
        <v>65</v>
      </c>
      <c r="AM20" s="45" t="s">
        <v>106</v>
      </c>
      <c r="AN20" s="45" t="s">
        <v>107</v>
      </c>
      <c r="AO20" s="45" t="s">
        <v>88</v>
      </c>
      <c r="BL20" s="45" t="s">
        <v>56</v>
      </c>
      <c r="BM20" s="57" t="s">
        <v>87</v>
      </c>
      <c r="BN20" s="45" t="s">
        <v>65</v>
      </c>
      <c r="BO20" s="45" t="s">
        <v>106</v>
      </c>
      <c r="BP20" s="45" t="s">
        <v>107</v>
      </c>
      <c r="BQ20" s="45" t="s">
        <v>88</v>
      </c>
      <c r="CU20" s="45" t="s">
        <v>56</v>
      </c>
      <c r="CV20" s="57" t="s">
        <v>87</v>
      </c>
      <c r="CW20" s="45" t="s">
        <v>65</v>
      </c>
      <c r="CX20" s="45" t="s">
        <v>106</v>
      </c>
      <c r="CY20" s="45" t="s">
        <v>107</v>
      </c>
      <c r="CZ20" s="45" t="s">
        <v>88</v>
      </c>
    </row>
    <row r="21" spans="2:104" ht="15.75" x14ac:dyDescent="0.25">
      <c r="B21" s="124"/>
      <c r="C21" s="124"/>
      <c r="D21" s="124"/>
      <c r="E21" s="124"/>
      <c r="F21" s="124"/>
      <c r="H21" s="49"/>
      <c r="I21" s="49" t="s">
        <v>122</v>
      </c>
      <c r="J21" s="49"/>
      <c r="K21" s="50"/>
      <c r="L21" s="50"/>
      <c r="N21" s="162"/>
      <c r="O21" s="162" t="s">
        <v>74</v>
      </c>
      <c r="P21" s="162">
        <f>CL9</f>
        <v>500</v>
      </c>
      <c r="Q21" s="162"/>
      <c r="R21" s="162"/>
      <c r="S21" s="162"/>
      <c r="T21" s="162"/>
      <c r="V21" s="214" t="s">
        <v>22</v>
      </c>
      <c r="W21" s="215"/>
      <c r="X21" s="215"/>
      <c r="Y21" s="215"/>
      <c r="Z21" s="215"/>
      <c r="AA21" s="216"/>
      <c r="AJ21" s="67" t="s">
        <v>133</v>
      </c>
      <c r="AK21" s="67" t="s">
        <v>132</v>
      </c>
      <c r="AL21" s="67" t="s">
        <v>131</v>
      </c>
      <c r="AM21" s="68"/>
      <c r="AN21" s="68">
        <v>40</v>
      </c>
      <c r="AO21" s="68">
        <f>AN21</f>
        <v>40</v>
      </c>
      <c r="BL21" s="67" t="s">
        <v>133</v>
      </c>
      <c r="BM21" s="67" t="s">
        <v>132</v>
      </c>
      <c r="BN21" s="67" t="s">
        <v>131</v>
      </c>
      <c r="BO21" s="68"/>
      <c r="BP21" s="68">
        <v>1200</v>
      </c>
      <c r="BQ21" s="68">
        <f>BP21</f>
        <v>1200</v>
      </c>
      <c r="CU21" s="67" t="s">
        <v>133</v>
      </c>
      <c r="CV21" s="67" t="s">
        <v>132</v>
      </c>
      <c r="CW21" s="67" t="s">
        <v>131</v>
      </c>
      <c r="CX21" s="68">
        <v>50</v>
      </c>
      <c r="CY21" s="68"/>
      <c r="CZ21" s="68">
        <f>CX21</f>
        <v>50</v>
      </c>
    </row>
    <row r="22" spans="2:104" ht="15.75" x14ac:dyDescent="0.25">
      <c r="B22" s="124">
        <v>4</v>
      </c>
      <c r="C22" s="124" t="s">
        <v>70</v>
      </c>
      <c r="D22" s="124">
        <v>130</v>
      </c>
      <c r="E22" s="124">
        <v>600</v>
      </c>
      <c r="F22" s="124"/>
      <c r="H22" s="49"/>
      <c r="I22" s="49"/>
      <c r="J22" s="49"/>
      <c r="K22" s="50"/>
      <c r="L22" s="50"/>
      <c r="N22" s="162"/>
      <c r="O22" s="162" t="s">
        <v>86</v>
      </c>
      <c r="P22" s="162"/>
      <c r="Q22" s="162"/>
      <c r="R22" s="162">
        <f>CS10</f>
        <v>10600</v>
      </c>
      <c r="S22" s="162"/>
      <c r="T22" s="162"/>
      <c r="V22" s="217" t="s">
        <v>29</v>
      </c>
      <c r="W22" s="218"/>
      <c r="X22" s="218"/>
      <c r="Y22" s="218"/>
      <c r="Z22" s="218"/>
      <c r="AA22" s="159"/>
      <c r="AJ22" s="44"/>
      <c r="AK22" s="44"/>
      <c r="AL22" s="44"/>
      <c r="AM22" s="59"/>
      <c r="AN22" s="59"/>
      <c r="AO22" s="59">
        <f>AO21+AM22-AN22</f>
        <v>40</v>
      </c>
      <c r="BL22" s="67"/>
      <c r="BM22" s="67"/>
      <c r="BN22" s="67"/>
      <c r="BO22" s="68"/>
      <c r="BP22" s="68"/>
      <c r="BQ22" s="68">
        <f>BQ21+BO22-BP22</f>
        <v>1200</v>
      </c>
      <c r="CU22" s="44"/>
      <c r="CV22" s="44"/>
      <c r="CW22" s="44"/>
      <c r="CX22" s="59"/>
      <c r="CY22" s="59"/>
      <c r="CZ22" s="59">
        <f>CZ21+CX22-CY22</f>
        <v>50</v>
      </c>
    </row>
    <row r="23" spans="2:104" ht="15.75" x14ac:dyDescent="0.25">
      <c r="B23" s="124"/>
      <c r="C23" s="124" t="s">
        <v>62</v>
      </c>
      <c r="D23" s="124">
        <v>101</v>
      </c>
      <c r="E23" s="124"/>
      <c r="F23" s="124">
        <v>600</v>
      </c>
      <c r="H23" s="49">
        <v>31</v>
      </c>
      <c r="I23" s="49" t="s">
        <v>2</v>
      </c>
      <c r="J23" s="49">
        <v>112</v>
      </c>
      <c r="K23" s="50">
        <v>200</v>
      </c>
      <c r="L23" s="50"/>
      <c r="N23" s="162"/>
      <c r="O23" s="162" t="s">
        <v>77</v>
      </c>
      <c r="P23" s="162">
        <f>CZ30</f>
        <v>5200</v>
      </c>
      <c r="Q23" s="162"/>
      <c r="R23" s="162"/>
      <c r="S23" s="162"/>
      <c r="T23" s="162"/>
      <c r="V23" s="217" t="s">
        <v>30</v>
      </c>
      <c r="W23" s="218"/>
      <c r="X23" s="218"/>
      <c r="Y23" s="218"/>
      <c r="Z23" s="218"/>
      <c r="AA23" s="219"/>
      <c r="AJ23" s="138"/>
      <c r="AK23" s="139"/>
      <c r="AL23" s="139"/>
      <c r="AM23" s="140">
        <f>SUM(AM21:AM22)</f>
        <v>0</v>
      </c>
      <c r="AN23" s="124">
        <f>SUM(AN21:AN22)</f>
        <v>40</v>
      </c>
      <c r="AO23" s="141">
        <f>AO22</f>
        <v>40</v>
      </c>
      <c r="BL23" s="233"/>
      <c r="BM23" s="234"/>
      <c r="BN23" s="235"/>
      <c r="BO23" s="124">
        <f>SUM(BO21:BO22)</f>
        <v>0</v>
      </c>
      <c r="BP23" s="124">
        <f>SUM(BP21:BP22)</f>
        <v>1200</v>
      </c>
      <c r="BQ23" s="124">
        <f>BQ22</f>
        <v>1200</v>
      </c>
      <c r="CU23" s="233"/>
      <c r="CV23" s="234"/>
      <c r="CW23" s="235"/>
      <c r="CX23" s="124">
        <f>SUM(CX21:CX22)</f>
        <v>50</v>
      </c>
      <c r="CY23" s="124">
        <f>SUM(CY21:CY22)</f>
        <v>0</v>
      </c>
      <c r="CZ23" s="124">
        <f>CZ22</f>
        <v>50</v>
      </c>
    </row>
    <row r="24" spans="2:104" x14ac:dyDescent="0.25">
      <c r="B24" s="124"/>
      <c r="C24" s="124" t="s">
        <v>71</v>
      </c>
      <c r="D24" s="124"/>
      <c r="E24" s="124"/>
      <c r="F24" s="124"/>
      <c r="H24" s="49"/>
      <c r="I24" s="49" t="s">
        <v>79</v>
      </c>
      <c r="J24" s="49">
        <v>400</v>
      </c>
      <c r="K24" s="50"/>
      <c r="L24" s="50">
        <v>200</v>
      </c>
      <c r="N24" s="162"/>
      <c r="O24" s="168" t="s">
        <v>113</v>
      </c>
      <c r="P24" s="162">
        <f>CZ58</f>
        <v>1500</v>
      </c>
      <c r="Q24" s="162"/>
      <c r="R24" s="162"/>
      <c r="S24" s="162"/>
      <c r="T24" s="162"/>
      <c r="V24" s="128"/>
      <c r="W24" s="129"/>
      <c r="X24" s="129"/>
      <c r="Y24" s="129"/>
      <c r="Z24" s="129"/>
      <c r="AA24" s="130"/>
    </row>
    <row r="25" spans="2:104" ht="21" x14ac:dyDescent="0.35">
      <c r="B25" s="124"/>
      <c r="C25" s="124"/>
      <c r="D25" s="124"/>
      <c r="E25" s="124"/>
      <c r="F25" s="124"/>
      <c r="H25" s="49"/>
      <c r="I25" s="49" t="s">
        <v>125</v>
      </c>
      <c r="J25" s="49"/>
      <c r="K25" s="50"/>
      <c r="L25" s="50"/>
      <c r="N25" s="162"/>
      <c r="O25" s="168" t="s">
        <v>18</v>
      </c>
      <c r="P25" s="162">
        <f>CZ16</f>
        <v>900</v>
      </c>
      <c r="Q25" s="162"/>
      <c r="R25" s="162"/>
      <c r="S25" s="162"/>
      <c r="T25" s="162"/>
      <c r="V25" s="128"/>
      <c r="W25" s="129"/>
      <c r="X25" s="129" t="s">
        <v>32</v>
      </c>
      <c r="Y25" s="129"/>
      <c r="Z25" s="149">
        <v>0</v>
      </c>
      <c r="AA25" s="130"/>
      <c r="CU25" s="205" t="s">
        <v>77</v>
      </c>
      <c r="CV25" s="206"/>
      <c r="CW25" s="206"/>
      <c r="CX25" s="206"/>
      <c r="CY25" s="206"/>
      <c r="CZ25" s="206"/>
    </row>
    <row r="26" spans="2:104" ht="21" x14ac:dyDescent="0.35">
      <c r="B26" s="124">
        <v>5</v>
      </c>
      <c r="C26" s="124" t="s">
        <v>3</v>
      </c>
      <c r="D26" s="124">
        <v>126</v>
      </c>
      <c r="E26" s="124">
        <v>2500</v>
      </c>
      <c r="F26" s="124"/>
      <c r="H26" s="49"/>
      <c r="I26" s="49"/>
      <c r="J26" s="49"/>
      <c r="K26" s="50"/>
      <c r="L26" s="50"/>
      <c r="N26" s="162"/>
      <c r="O26" s="168" t="s">
        <v>116</v>
      </c>
      <c r="P26" s="162">
        <f>CZ23</f>
        <v>50</v>
      </c>
      <c r="Q26" s="162"/>
      <c r="R26" s="162"/>
      <c r="S26" s="162"/>
      <c r="T26" s="162"/>
      <c r="V26" s="128"/>
      <c r="W26" s="129"/>
      <c r="X26" s="129" t="s">
        <v>171</v>
      </c>
      <c r="Y26" s="129"/>
      <c r="Z26" s="26">
        <v>10000</v>
      </c>
      <c r="AA26" s="130"/>
      <c r="CU26" s="207" t="s">
        <v>105</v>
      </c>
      <c r="CV26" s="208"/>
      <c r="CW26" s="208"/>
      <c r="CX26" s="208"/>
      <c r="CY26" s="208"/>
      <c r="CZ26" s="208"/>
    </row>
    <row r="27" spans="2:104" ht="18.75" x14ac:dyDescent="0.3">
      <c r="B27" s="124"/>
      <c r="C27" s="124" t="s">
        <v>72</v>
      </c>
      <c r="D27" s="124">
        <v>201</v>
      </c>
      <c r="E27" s="124"/>
      <c r="F27" s="124">
        <v>2500</v>
      </c>
      <c r="H27" s="49">
        <v>31</v>
      </c>
      <c r="I27" s="49" t="s">
        <v>123</v>
      </c>
      <c r="J27" s="49">
        <v>905</v>
      </c>
      <c r="K27" s="50">
        <v>50</v>
      </c>
      <c r="L27" s="50"/>
      <c r="N27" s="162"/>
      <c r="O27" s="168" t="s">
        <v>123</v>
      </c>
      <c r="P27" s="162">
        <f>CZ37</f>
        <v>50</v>
      </c>
      <c r="Q27" s="162"/>
      <c r="R27" s="162"/>
      <c r="S27" s="162"/>
      <c r="T27" s="162"/>
      <c r="V27" s="128"/>
      <c r="W27" s="129"/>
      <c r="X27" s="129"/>
      <c r="Y27" s="129"/>
      <c r="Z27" s="129"/>
      <c r="AA27" s="130"/>
      <c r="CU27" s="45" t="s">
        <v>56</v>
      </c>
      <c r="CV27" s="57" t="s">
        <v>87</v>
      </c>
      <c r="CW27" s="45" t="s">
        <v>65</v>
      </c>
      <c r="CX27" s="45" t="s">
        <v>106</v>
      </c>
      <c r="CY27" s="45" t="s">
        <v>107</v>
      </c>
      <c r="CZ27" s="45" t="s">
        <v>88</v>
      </c>
    </row>
    <row r="28" spans="2:104" x14ac:dyDescent="0.25">
      <c r="B28" s="124"/>
      <c r="C28" s="124" t="s">
        <v>73</v>
      </c>
      <c r="D28" s="124"/>
      <c r="E28" s="124"/>
      <c r="F28" s="124"/>
      <c r="H28" s="49"/>
      <c r="I28" s="49" t="s">
        <v>124</v>
      </c>
      <c r="J28" s="49">
        <v>230</v>
      </c>
      <c r="K28" s="50"/>
      <c r="L28" s="50">
        <v>50</v>
      </c>
      <c r="N28" s="162"/>
      <c r="O28" s="168" t="s">
        <v>118</v>
      </c>
      <c r="P28" s="162">
        <f>CZ51</f>
        <v>40</v>
      </c>
      <c r="Q28" s="162"/>
      <c r="R28" s="162"/>
      <c r="S28" s="162"/>
      <c r="T28" s="162"/>
      <c r="V28" s="128"/>
      <c r="W28" s="129"/>
      <c r="X28" s="129" t="s">
        <v>172</v>
      </c>
      <c r="Y28" s="129"/>
      <c r="Z28" s="129">
        <f>Z18</f>
        <v>2860</v>
      </c>
      <c r="AA28" s="130"/>
      <c r="CU28" s="43" t="s">
        <v>91</v>
      </c>
      <c r="CV28" s="43"/>
      <c r="CW28" s="43" t="s">
        <v>89</v>
      </c>
      <c r="CX28" s="58">
        <v>4000</v>
      </c>
      <c r="CY28" s="58"/>
      <c r="CZ28" s="58">
        <f>CX28</f>
        <v>4000</v>
      </c>
    </row>
    <row r="29" spans="2:104" ht="19.5" thickBot="1" x14ac:dyDescent="0.35">
      <c r="B29" s="124"/>
      <c r="C29" s="124"/>
      <c r="D29" s="124"/>
      <c r="E29" s="124"/>
      <c r="F29" s="124"/>
      <c r="H29" s="49"/>
      <c r="I29" s="49" t="s">
        <v>128</v>
      </c>
      <c r="J29" s="49"/>
      <c r="K29" s="50"/>
      <c r="L29" s="50"/>
      <c r="N29" s="162"/>
      <c r="O29" s="162"/>
      <c r="P29" s="166">
        <f>SUM(P9:P28)</f>
        <v>30190</v>
      </c>
      <c r="Q29" s="167"/>
      <c r="R29" s="166">
        <f ca="1">SUM(R9:R29)</f>
        <v>30190</v>
      </c>
      <c r="S29" s="162"/>
      <c r="T29" s="162"/>
      <c r="V29" s="128"/>
      <c r="W29" s="129"/>
      <c r="X29" s="129"/>
      <c r="Y29" s="129"/>
      <c r="Z29" s="129"/>
      <c r="AA29" s="130"/>
      <c r="CU29" s="67" t="s">
        <v>133</v>
      </c>
      <c r="CV29" s="67" t="s">
        <v>137</v>
      </c>
      <c r="CW29" s="67" t="s">
        <v>131</v>
      </c>
      <c r="CX29" s="68">
        <v>1200</v>
      </c>
      <c r="CY29" s="68"/>
      <c r="CZ29" s="68">
        <f>CZ28+CX29-CY29</f>
        <v>5200</v>
      </c>
    </row>
    <row r="30" spans="2:104" ht="15.75" thickTop="1" x14ac:dyDescent="0.25">
      <c r="B30" s="124">
        <v>20</v>
      </c>
      <c r="C30" s="124" t="s">
        <v>100</v>
      </c>
      <c r="D30" s="124">
        <v>306</v>
      </c>
      <c r="E30" s="124">
        <v>500</v>
      </c>
      <c r="F30" s="124"/>
      <c r="H30" s="49"/>
      <c r="I30" s="49"/>
      <c r="J30" s="49"/>
      <c r="K30" s="50"/>
      <c r="L30" s="50"/>
      <c r="N30" s="165"/>
      <c r="O30" s="165"/>
      <c r="P30" s="162"/>
      <c r="Q30" s="162"/>
      <c r="R30" s="162"/>
      <c r="S30" s="162"/>
      <c r="T30" s="162"/>
      <c r="V30" s="128"/>
      <c r="W30" s="129"/>
      <c r="X30" s="129" t="s">
        <v>173</v>
      </c>
      <c r="Y30" s="129"/>
      <c r="Z30" s="129">
        <f>P21</f>
        <v>500</v>
      </c>
      <c r="AA30" s="130"/>
      <c r="CU30" s="233"/>
      <c r="CV30" s="234"/>
      <c r="CW30" s="235"/>
      <c r="CX30" s="124">
        <f>SUM(CX28:CX29)</f>
        <v>5200</v>
      </c>
      <c r="CY30" s="124">
        <f>SUM(CY28:CY29)</f>
        <v>0</v>
      </c>
      <c r="CZ30" s="124">
        <f>CZ29</f>
        <v>5200</v>
      </c>
    </row>
    <row r="31" spans="2:104" ht="19.5" thickBot="1" x14ac:dyDescent="0.35">
      <c r="B31" s="124"/>
      <c r="C31" s="124" t="s">
        <v>62</v>
      </c>
      <c r="D31" s="124">
        <v>101</v>
      </c>
      <c r="E31" s="124"/>
      <c r="F31" s="124">
        <v>500</v>
      </c>
      <c r="H31" s="49">
        <v>26</v>
      </c>
      <c r="I31" s="49" t="s">
        <v>77</v>
      </c>
      <c r="J31" s="49">
        <v>726</v>
      </c>
      <c r="K31" s="50">
        <v>1200</v>
      </c>
      <c r="L31" s="50"/>
      <c r="V31" s="128"/>
      <c r="W31" s="129"/>
      <c r="X31" s="129" t="s">
        <v>174</v>
      </c>
      <c r="Y31" s="129"/>
      <c r="Z31" s="30">
        <f>Z26+Z28-Z30</f>
        <v>12360</v>
      </c>
      <c r="AA31" s="130"/>
    </row>
    <row r="32" spans="2:104" ht="21.75" thickTop="1" x14ac:dyDescent="0.35">
      <c r="B32" s="124"/>
      <c r="C32" s="124" t="s">
        <v>78</v>
      </c>
      <c r="D32" s="124"/>
      <c r="E32" s="124"/>
      <c r="F32" s="124"/>
      <c r="H32" s="49"/>
      <c r="I32" s="49" t="s">
        <v>127</v>
      </c>
      <c r="J32" s="49">
        <v>212</v>
      </c>
      <c r="K32" s="50"/>
      <c r="L32" s="50">
        <v>1200</v>
      </c>
      <c r="V32" s="138"/>
      <c r="W32" s="139"/>
      <c r="X32" s="139"/>
      <c r="Y32" s="139"/>
      <c r="Z32" s="139"/>
      <c r="AA32" s="146"/>
      <c r="CU32" s="205" t="s">
        <v>123</v>
      </c>
      <c r="CV32" s="206"/>
      <c r="CW32" s="206"/>
      <c r="CX32" s="206"/>
      <c r="CY32" s="206"/>
      <c r="CZ32" s="206"/>
    </row>
    <row r="33" spans="2:104" ht="21" x14ac:dyDescent="0.35">
      <c r="B33" s="124"/>
      <c r="C33" s="124"/>
      <c r="D33" s="124"/>
      <c r="E33" s="124"/>
      <c r="F33" s="124"/>
      <c r="H33" s="49"/>
      <c r="I33" s="49" t="s">
        <v>126</v>
      </c>
      <c r="J33" s="5"/>
      <c r="K33" s="46"/>
      <c r="L33" s="46"/>
      <c r="CU33" s="207" t="s">
        <v>139</v>
      </c>
      <c r="CV33" s="208"/>
      <c r="CW33" s="208"/>
      <c r="CX33" s="208"/>
      <c r="CY33" s="208"/>
      <c r="CZ33" s="208"/>
    </row>
    <row r="34" spans="2:104" ht="18.75" x14ac:dyDescent="0.3">
      <c r="B34" s="124">
        <v>26</v>
      </c>
      <c r="C34" s="124" t="s">
        <v>77</v>
      </c>
      <c r="D34" s="124">
        <v>726</v>
      </c>
      <c r="E34" s="124">
        <v>4000</v>
      </c>
      <c r="F34" s="124"/>
      <c r="H34" s="236"/>
      <c r="I34" s="237"/>
      <c r="J34" s="237"/>
      <c r="K34" s="237"/>
      <c r="L34" s="238"/>
      <c r="V34" s="214" t="s">
        <v>22</v>
      </c>
      <c r="W34" s="215"/>
      <c r="X34" s="215"/>
      <c r="Y34" s="215"/>
      <c r="Z34" s="215"/>
      <c r="AA34" s="157"/>
      <c r="CU34" s="45" t="s">
        <v>56</v>
      </c>
      <c r="CV34" s="57" t="s">
        <v>87</v>
      </c>
      <c r="CW34" s="45" t="s">
        <v>65</v>
      </c>
      <c r="CX34" s="45" t="s">
        <v>106</v>
      </c>
      <c r="CY34" s="45" t="s">
        <v>107</v>
      </c>
      <c r="CZ34" s="45" t="s">
        <v>88</v>
      </c>
    </row>
    <row r="35" spans="2:104" ht="15.75" x14ac:dyDescent="0.25">
      <c r="B35" s="124"/>
      <c r="C35" s="124" t="s">
        <v>62</v>
      </c>
      <c r="D35" s="124">
        <v>101</v>
      </c>
      <c r="E35" s="124"/>
      <c r="F35" s="124">
        <v>4000</v>
      </c>
      <c r="H35" s="1"/>
      <c r="I35" s="1"/>
      <c r="J35" s="1"/>
      <c r="K35" s="51">
        <f>SUM(K7:K34)</f>
        <v>3440</v>
      </c>
      <c r="L35" s="51">
        <f>SUM(L7:L34)</f>
        <v>3440</v>
      </c>
      <c r="V35" s="217" t="s">
        <v>40</v>
      </c>
      <c r="W35" s="218"/>
      <c r="X35" s="218"/>
      <c r="Y35" s="218"/>
      <c r="Z35" s="218"/>
      <c r="AA35" s="219"/>
      <c r="CU35" s="67" t="s">
        <v>133</v>
      </c>
      <c r="CV35" s="67" t="s">
        <v>137</v>
      </c>
      <c r="CW35" s="67" t="s">
        <v>131</v>
      </c>
      <c r="CX35" s="68">
        <v>50</v>
      </c>
      <c r="CY35" s="68"/>
      <c r="CZ35" s="68">
        <f>CX35</f>
        <v>50</v>
      </c>
    </row>
    <row r="36" spans="2:104" ht="15.75" x14ac:dyDescent="0.25">
      <c r="B36" s="124"/>
      <c r="C36" s="124" t="s">
        <v>76</v>
      </c>
      <c r="D36" s="146"/>
      <c r="E36" s="146"/>
      <c r="F36" s="146"/>
      <c r="V36" s="217" t="s">
        <v>30</v>
      </c>
      <c r="W36" s="218"/>
      <c r="X36" s="218"/>
      <c r="Y36" s="218"/>
      <c r="Z36" s="218"/>
      <c r="AA36" s="219"/>
      <c r="CU36" s="49"/>
      <c r="CV36" s="49"/>
      <c r="CW36" s="49"/>
      <c r="CX36" s="50"/>
      <c r="CY36" s="50"/>
      <c r="CZ36" s="50">
        <f>CZ35+CX36-CY36</f>
        <v>50</v>
      </c>
    </row>
    <row r="37" spans="2:104" ht="15.75" x14ac:dyDescent="0.25">
      <c r="B37" s="124"/>
      <c r="C37" s="124"/>
      <c r="D37" s="124"/>
      <c r="E37" s="124"/>
      <c r="F37" s="124"/>
      <c r="V37" s="170" t="s">
        <v>39</v>
      </c>
      <c r="W37" s="155"/>
      <c r="X37" s="155"/>
      <c r="Y37" s="155"/>
      <c r="Z37" s="155"/>
      <c r="AA37" s="156"/>
      <c r="CU37" s="233"/>
      <c r="CV37" s="234"/>
      <c r="CW37" s="235"/>
      <c r="CX37" s="124">
        <f>SUM(CX35:CX36)</f>
        <v>50</v>
      </c>
      <c r="CY37" s="124">
        <f>SUM(CY35:CY36)</f>
        <v>0</v>
      </c>
      <c r="CZ37" s="124">
        <f>CZ36</f>
        <v>50</v>
      </c>
    </row>
    <row r="38" spans="2:104" x14ac:dyDescent="0.25">
      <c r="B38" s="124">
        <v>31</v>
      </c>
      <c r="C38" s="124" t="s">
        <v>0</v>
      </c>
      <c r="D38" s="124">
        <v>101</v>
      </c>
      <c r="E38" s="124">
        <v>10000</v>
      </c>
      <c r="F38" s="124"/>
      <c r="V38" s="171"/>
      <c r="W38" s="129" t="s">
        <v>0</v>
      </c>
      <c r="X38" s="129"/>
      <c r="Y38" s="129"/>
      <c r="Z38" s="129">
        <f>'The Recording Process 2'!J9</f>
        <v>15200</v>
      </c>
      <c r="AA38" s="130"/>
    </row>
    <row r="39" spans="2:104" ht="21" x14ac:dyDescent="0.35">
      <c r="B39" s="124"/>
      <c r="C39" s="124" t="s">
        <v>79</v>
      </c>
      <c r="D39" s="124">
        <v>400</v>
      </c>
      <c r="E39" s="124"/>
      <c r="F39" s="124">
        <v>10000</v>
      </c>
      <c r="V39" s="128"/>
      <c r="W39" s="129" t="s">
        <v>2</v>
      </c>
      <c r="X39" s="129"/>
      <c r="Y39" s="129"/>
      <c r="Z39" s="129">
        <f>P10</f>
        <v>200</v>
      </c>
      <c r="AA39" s="130"/>
      <c r="CU39" s="205" t="s">
        <v>85</v>
      </c>
      <c r="CV39" s="206"/>
      <c r="CW39" s="206"/>
      <c r="CX39" s="206"/>
      <c r="CY39" s="206"/>
      <c r="CZ39" s="206"/>
    </row>
    <row r="40" spans="2:104" ht="21" x14ac:dyDescent="0.35">
      <c r="B40" s="124"/>
      <c r="C40" s="124" t="s">
        <v>80</v>
      </c>
      <c r="D40" s="124"/>
      <c r="E40" s="124"/>
      <c r="F40" s="124"/>
      <c r="V40" s="171"/>
      <c r="W40" s="129" t="s">
        <v>3</v>
      </c>
      <c r="X40" s="129"/>
      <c r="Y40" s="129"/>
      <c r="Z40" s="129">
        <f>P11</f>
        <v>1000</v>
      </c>
      <c r="AA40" s="130"/>
      <c r="CU40" s="207" t="s">
        <v>98</v>
      </c>
      <c r="CV40" s="208"/>
      <c r="CW40" s="208"/>
      <c r="CX40" s="208"/>
      <c r="CY40" s="208"/>
      <c r="CZ40" s="208"/>
    </row>
    <row r="41" spans="2:104" ht="18.75" x14ac:dyDescent="0.3">
      <c r="E41" s="151">
        <f>SUM(E6:E40)</f>
        <v>34700</v>
      </c>
      <c r="F41" s="151">
        <f>SUM(F6:F40)</f>
        <v>34700</v>
      </c>
      <c r="V41" s="171"/>
      <c r="W41" s="129" t="s">
        <v>70</v>
      </c>
      <c r="X41" s="129"/>
      <c r="Y41" s="129"/>
      <c r="Z41" s="129">
        <f>P12</f>
        <v>550</v>
      </c>
      <c r="AA41" s="130"/>
      <c r="CU41" s="45" t="s">
        <v>56</v>
      </c>
      <c r="CV41" s="57" t="s">
        <v>87</v>
      </c>
      <c r="CW41" s="45" t="s">
        <v>65</v>
      </c>
      <c r="CX41" s="45" t="s">
        <v>108</v>
      </c>
      <c r="CY41" s="45" t="s">
        <v>109</v>
      </c>
      <c r="CZ41" s="45" t="s">
        <v>88</v>
      </c>
    </row>
    <row r="42" spans="2:104" x14ac:dyDescent="0.25">
      <c r="V42" s="171"/>
      <c r="W42" s="160" t="s">
        <v>61</v>
      </c>
      <c r="X42" s="129"/>
      <c r="Y42" s="129"/>
      <c r="Z42" s="129">
        <f>P13</f>
        <v>5000</v>
      </c>
      <c r="AA42" s="130"/>
      <c r="CU42" s="43" t="s">
        <v>91</v>
      </c>
      <c r="CV42" s="43"/>
      <c r="CW42" s="43" t="s">
        <v>89</v>
      </c>
      <c r="CX42" s="58"/>
      <c r="CY42" s="58">
        <v>1200</v>
      </c>
      <c r="CZ42" s="58">
        <f>CY42</f>
        <v>1200</v>
      </c>
    </row>
    <row r="43" spans="2:104" ht="19.5" thickBot="1" x14ac:dyDescent="0.35">
      <c r="V43" s="171"/>
      <c r="W43" s="134" t="s">
        <v>36</v>
      </c>
      <c r="X43" s="129"/>
      <c r="Y43" s="129"/>
      <c r="Z43" s="150">
        <f>SUM(Z38:Z42)</f>
        <v>21950</v>
      </c>
      <c r="AA43" s="130"/>
      <c r="CU43" s="67" t="s">
        <v>133</v>
      </c>
      <c r="CV43" s="67" t="s">
        <v>132</v>
      </c>
      <c r="CW43" s="67" t="s">
        <v>131</v>
      </c>
      <c r="CX43" s="68">
        <v>400</v>
      </c>
      <c r="CY43" s="68"/>
      <c r="CZ43" s="68">
        <f>CZ42+CY43-CX43</f>
        <v>800</v>
      </c>
    </row>
    <row r="44" spans="2:104" ht="15.75" thickTop="1" x14ac:dyDescent="0.25">
      <c r="V44" s="171"/>
      <c r="W44" s="129"/>
      <c r="X44" s="129"/>
      <c r="Y44" s="129"/>
      <c r="Z44" s="129"/>
      <c r="AA44" s="130"/>
      <c r="CU44" s="233"/>
      <c r="CV44" s="234"/>
      <c r="CW44" s="235"/>
      <c r="CX44" s="124">
        <f>SUM(CX42:CX43)</f>
        <v>400</v>
      </c>
      <c r="CY44" s="124">
        <f>SUM(CY42:CY43)</f>
        <v>1200</v>
      </c>
      <c r="CZ44" s="124">
        <f>CZ43</f>
        <v>800</v>
      </c>
    </row>
    <row r="45" spans="2:104" ht="15.75" x14ac:dyDescent="0.25">
      <c r="V45" s="170" t="s">
        <v>175</v>
      </c>
      <c r="W45" s="155"/>
      <c r="X45" s="155"/>
      <c r="Y45" s="155"/>
      <c r="Z45" s="155"/>
      <c r="AA45" s="156"/>
    </row>
    <row r="46" spans="2:104" ht="21" x14ac:dyDescent="0.35">
      <c r="V46" s="171"/>
      <c r="W46" s="129" t="s">
        <v>84</v>
      </c>
      <c r="X46" s="129"/>
      <c r="Y46" s="129"/>
      <c r="Z46" s="129">
        <f>R15</f>
        <v>5000</v>
      </c>
      <c r="AA46" s="130"/>
      <c r="CU46" s="205" t="s">
        <v>118</v>
      </c>
      <c r="CV46" s="206"/>
      <c r="CW46" s="206"/>
      <c r="CX46" s="206"/>
      <c r="CY46" s="206"/>
      <c r="CZ46" s="206"/>
    </row>
    <row r="47" spans="2:104" ht="21" x14ac:dyDescent="0.35">
      <c r="V47" s="171"/>
      <c r="W47" s="129" t="s">
        <v>7</v>
      </c>
      <c r="X47" s="129"/>
      <c r="Y47" s="129"/>
      <c r="Z47" s="129">
        <f>R16</f>
        <v>2500</v>
      </c>
      <c r="AA47" s="130"/>
      <c r="CU47" s="207" t="s">
        <v>136</v>
      </c>
      <c r="CV47" s="208"/>
      <c r="CW47" s="208"/>
      <c r="CX47" s="208"/>
      <c r="CY47" s="208"/>
      <c r="CZ47" s="208"/>
    </row>
    <row r="48" spans="2:104" ht="18.75" x14ac:dyDescent="0.3">
      <c r="V48" s="171"/>
      <c r="W48" s="129" t="s">
        <v>85</v>
      </c>
      <c r="X48" s="129"/>
      <c r="Y48" s="129"/>
      <c r="Z48" s="129">
        <f>R18</f>
        <v>800</v>
      </c>
      <c r="AA48" s="130"/>
      <c r="CU48" s="45" t="s">
        <v>56</v>
      </c>
      <c r="CV48" s="57" t="s">
        <v>87</v>
      </c>
      <c r="CW48" s="45" t="s">
        <v>65</v>
      </c>
      <c r="CX48" s="45" t="s">
        <v>106</v>
      </c>
      <c r="CY48" s="45" t="s">
        <v>107</v>
      </c>
      <c r="CZ48" s="45" t="s">
        <v>88</v>
      </c>
    </row>
    <row r="49" spans="22:104" x14ac:dyDescent="0.25">
      <c r="V49" s="128"/>
      <c r="W49" s="129" t="s">
        <v>147</v>
      </c>
      <c r="X49" s="129"/>
      <c r="Y49" s="129"/>
      <c r="Z49" s="129">
        <f>R19</f>
        <v>1200</v>
      </c>
      <c r="AA49" s="130"/>
      <c r="CU49" s="67" t="s">
        <v>133</v>
      </c>
      <c r="CV49" s="67" t="s">
        <v>132</v>
      </c>
      <c r="CW49" s="67" t="s">
        <v>131</v>
      </c>
      <c r="CX49" s="68">
        <v>40</v>
      </c>
      <c r="CY49" s="68"/>
      <c r="CZ49" s="68">
        <f>CX49</f>
        <v>40</v>
      </c>
    </row>
    <row r="50" spans="22:104" x14ac:dyDescent="0.25">
      <c r="V50" s="128"/>
      <c r="W50" s="129" t="s">
        <v>148</v>
      </c>
      <c r="X50" s="129"/>
      <c r="Y50" s="129"/>
      <c r="Z50" s="129">
        <f>R17</f>
        <v>50</v>
      </c>
      <c r="AA50" s="130"/>
      <c r="CU50" s="44"/>
      <c r="CV50" s="44"/>
      <c r="CW50" s="44"/>
      <c r="CX50" s="59"/>
      <c r="CY50" s="59"/>
      <c r="CZ50" s="59">
        <f>CZ49+CX50-CY50</f>
        <v>40</v>
      </c>
    </row>
    <row r="51" spans="22:104" ht="15.75" x14ac:dyDescent="0.25">
      <c r="V51" s="171"/>
      <c r="W51" s="134" t="s">
        <v>199</v>
      </c>
      <c r="X51" s="129"/>
      <c r="Y51" s="129"/>
      <c r="Z51" s="152">
        <f>SUM(Z46:Z50)</f>
        <v>9550</v>
      </c>
      <c r="AA51" s="130"/>
      <c r="CU51" s="233"/>
      <c r="CV51" s="234"/>
      <c r="CW51" s="235"/>
      <c r="CX51" s="124">
        <f>SUM(CX49:CX50)</f>
        <v>40</v>
      </c>
      <c r="CY51" s="124">
        <f>SUM(CY49:CY50)</f>
        <v>0</v>
      </c>
      <c r="CZ51" s="124">
        <f>CZ50</f>
        <v>40</v>
      </c>
    </row>
    <row r="52" spans="22:104" x14ac:dyDescent="0.25">
      <c r="V52" s="171"/>
      <c r="W52" s="129"/>
      <c r="X52" s="129"/>
      <c r="Y52" s="129"/>
      <c r="Z52" s="129"/>
      <c r="AA52" s="130"/>
    </row>
    <row r="53" spans="22:104" ht="21" x14ac:dyDescent="0.35">
      <c r="V53" s="170" t="s">
        <v>177</v>
      </c>
      <c r="W53" s="155"/>
      <c r="X53" s="155"/>
      <c r="Y53" s="155"/>
      <c r="Z53" s="155"/>
      <c r="AA53" s="156"/>
      <c r="CU53" s="227" t="s">
        <v>113</v>
      </c>
      <c r="CV53" s="228"/>
      <c r="CW53" s="228"/>
      <c r="CX53" s="228"/>
      <c r="CY53" s="228"/>
      <c r="CZ53" s="229"/>
    </row>
    <row r="54" spans="22:104" ht="21" x14ac:dyDescent="0.35">
      <c r="V54" s="128" t="s">
        <v>204</v>
      </c>
      <c r="W54" s="129"/>
      <c r="X54" s="129"/>
      <c r="Y54" s="129"/>
      <c r="Z54" s="129"/>
      <c r="AA54" s="130"/>
      <c r="CU54" s="224" t="s">
        <v>134</v>
      </c>
      <c r="CV54" s="225"/>
      <c r="CW54" s="225"/>
      <c r="CX54" s="225"/>
      <c r="CY54" s="225"/>
      <c r="CZ54" s="226"/>
    </row>
    <row r="55" spans="22:104" ht="18.75" x14ac:dyDescent="0.3">
      <c r="V55" s="128" t="s">
        <v>205</v>
      </c>
      <c r="W55" s="129"/>
      <c r="X55" s="129"/>
      <c r="Y55" s="129"/>
      <c r="Z55" s="129">
        <f>Z31</f>
        <v>12360</v>
      </c>
      <c r="AA55" s="130"/>
      <c r="CU55" s="125" t="s">
        <v>56</v>
      </c>
      <c r="CV55" s="126" t="s">
        <v>87</v>
      </c>
      <c r="CW55" s="125" t="s">
        <v>65</v>
      </c>
      <c r="CX55" s="125" t="s">
        <v>106</v>
      </c>
      <c r="CY55" s="125" t="s">
        <v>107</v>
      </c>
      <c r="CZ55" s="125" t="s">
        <v>88</v>
      </c>
    </row>
    <row r="56" spans="22:104" x14ac:dyDescent="0.25">
      <c r="V56" s="128"/>
      <c r="W56" s="129"/>
      <c r="X56" s="129"/>
      <c r="Y56" s="129"/>
      <c r="Z56" s="129"/>
      <c r="AA56" s="130"/>
      <c r="CU56" s="67" t="s">
        <v>133</v>
      </c>
      <c r="CV56" s="67" t="s">
        <v>132</v>
      </c>
      <c r="CW56" s="67" t="s">
        <v>131</v>
      </c>
      <c r="CX56" s="68">
        <v>1500</v>
      </c>
      <c r="CY56" s="131"/>
      <c r="CZ56" s="131">
        <f>CX56</f>
        <v>1500</v>
      </c>
    </row>
    <row r="57" spans="22:104" ht="19.5" thickBot="1" x14ac:dyDescent="0.35">
      <c r="V57" s="128" t="s">
        <v>206</v>
      </c>
      <c r="W57" s="129"/>
      <c r="X57" s="129"/>
      <c r="Y57" s="129"/>
      <c r="Z57" s="150">
        <f>Z51+Z55</f>
        <v>21910</v>
      </c>
      <c r="AA57" s="130"/>
      <c r="CU57" s="67"/>
      <c r="CV57" s="67"/>
      <c r="CW57" s="67"/>
      <c r="CX57" s="68"/>
      <c r="CY57" s="68"/>
      <c r="CZ57" s="161">
        <f>CZ56+CX57-CY57</f>
        <v>1500</v>
      </c>
    </row>
    <row r="58" spans="22:104" ht="15.75" thickTop="1" x14ac:dyDescent="0.25">
      <c r="V58" s="128"/>
      <c r="W58" s="129"/>
      <c r="X58" s="129"/>
      <c r="Y58" s="129"/>
      <c r="Z58" s="129"/>
      <c r="AA58" s="130"/>
      <c r="CU58" s="138"/>
      <c r="CV58" s="139"/>
      <c r="CW58" s="139"/>
      <c r="CX58" s="140">
        <f>SUM(CX56:CX57)</f>
        <v>1500</v>
      </c>
      <c r="CY58" s="124">
        <f>SUM(CY56:CY57)</f>
        <v>0</v>
      </c>
      <c r="CZ58" s="141">
        <f>CZ57</f>
        <v>1500</v>
      </c>
    </row>
    <row r="59" spans="22:104" x14ac:dyDescent="0.25">
      <c r="V59" s="138"/>
      <c r="W59" s="139"/>
      <c r="X59" s="139"/>
      <c r="Y59" s="139"/>
      <c r="Z59" s="139"/>
      <c r="AA59" s="146"/>
    </row>
  </sheetData>
  <mergeCells count="74">
    <mergeCell ref="AC2:BC2"/>
    <mergeCell ref="BE2:BX2"/>
    <mergeCell ref="BZ2:DA2"/>
    <mergeCell ref="B4:E4"/>
    <mergeCell ref="N4:S4"/>
    <mergeCell ref="V4:AA4"/>
    <mergeCell ref="AC4:AH4"/>
    <mergeCell ref="AJ4:AO4"/>
    <mergeCell ref="AQ4:AV4"/>
    <mergeCell ref="AX4:BC4"/>
    <mergeCell ref="CU4:CZ4"/>
    <mergeCell ref="BZ4:CE4"/>
    <mergeCell ref="CG4:CL4"/>
    <mergeCell ref="CN4:CS4"/>
    <mergeCell ref="H4:K4"/>
    <mergeCell ref="N5:S5"/>
    <mergeCell ref="V5:AA5"/>
    <mergeCell ref="AC5:AH5"/>
    <mergeCell ref="AJ5:AO5"/>
    <mergeCell ref="AQ5:AV5"/>
    <mergeCell ref="AX5:BC5"/>
    <mergeCell ref="BE5:BJ5"/>
    <mergeCell ref="BL5:BQ5"/>
    <mergeCell ref="BS5:BX5"/>
    <mergeCell ref="BE4:BJ4"/>
    <mergeCell ref="BL4:BQ4"/>
    <mergeCell ref="BS4:BX4"/>
    <mergeCell ref="BZ5:CE5"/>
    <mergeCell ref="CG5:CL5"/>
    <mergeCell ref="CN5:CS5"/>
    <mergeCell ref="CU5:CZ5"/>
    <mergeCell ref="BZ9:CB9"/>
    <mergeCell ref="CG9:CI9"/>
    <mergeCell ref="CU9:CW9"/>
    <mergeCell ref="H34:L34"/>
    <mergeCell ref="BL11:BQ11"/>
    <mergeCell ref="BL12:BQ12"/>
    <mergeCell ref="AQ11:AV11"/>
    <mergeCell ref="AQ12:AV12"/>
    <mergeCell ref="CU53:CZ53"/>
    <mergeCell ref="CU54:CZ54"/>
    <mergeCell ref="X17:Y17"/>
    <mergeCell ref="AJ18:AO18"/>
    <mergeCell ref="AJ19:AO19"/>
    <mergeCell ref="N6:S6"/>
    <mergeCell ref="V6:AA6"/>
    <mergeCell ref="BL18:BQ18"/>
    <mergeCell ref="CU23:CW23"/>
    <mergeCell ref="CU25:CZ25"/>
    <mergeCell ref="CU16:CW16"/>
    <mergeCell ref="CU18:CZ18"/>
    <mergeCell ref="CU19:CZ19"/>
    <mergeCell ref="CU12:CZ12"/>
    <mergeCell ref="CN10:CP10"/>
    <mergeCell ref="CU11:CZ11"/>
    <mergeCell ref="CU51:CW51"/>
    <mergeCell ref="CU33:CZ33"/>
    <mergeCell ref="CU37:CW37"/>
    <mergeCell ref="CU39:CZ39"/>
    <mergeCell ref="CU40:CZ40"/>
    <mergeCell ref="CU44:CW44"/>
    <mergeCell ref="V36:AA36"/>
    <mergeCell ref="BL19:BQ19"/>
    <mergeCell ref="BL23:BN23"/>
    <mergeCell ref="CU46:CZ46"/>
    <mergeCell ref="CU47:CZ47"/>
    <mergeCell ref="CU32:CZ32"/>
    <mergeCell ref="V23:AA23"/>
    <mergeCell ref="V22:Z22"/>
    <mergeCell ref="V21:AA21"/>
    <mergeCell ref="V34:Z34"/>
    <mergeCell ref="V35:AA35"/>
    <mergeCell ref="CU26:CZ26"/>
    <mergeCell ref="CU30:CW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K106"/>
  <sheetViews>
    <sheetView topLeftCell="AP1" zoomScale="75" zoomScaleNormal="75" workbookViewId="0">
      <selection activeCell="AX20" sqref="AX20"/>
    </sheetView>
  </sheetViews>
  <sheetFormatPr defaultRowHeight="15" x14ac:dyDescent="0.25"/>
  <cols>
    <col min="1" max="1" width="6.42578125" style="1" customWidth="1"/>
    <col min="2" max="2" width="7.42578125" style="1" bestFit="1" customWidth="1"/>
    <col min="3" max="3" width="46.7109375" style="1" bestFit="1" customWidth="1"/>
    <col min="4" max="4" width="7.140625" style="1" bestFit="1" customWidth="1"/>
    <col min="5" max="5" width="7.5703125" style="1" customWidth="1"/>
    <col min="6" max="6" width="8.28515625" style="1" bestFit="1" customWidth="1"/>
    <col min="7" max="7" width="2.5703125" style="1" customWidth="1"/>
    <col min="8" max="8" width="10.42578125" style="1" bestFit="1" customWidth="1"/>
    <col min="9" max="9" width="14.7109375" style="1" bestFit="1" customWidth="1"/>
    <col min="10" max="10" width="7.140625" style="1" bestFit="1" customWidth="1"/>
    <col min="11" max="11" width="9.42578125" style="1" bestFit="1" customWidth="1"/>
    <col min="12" max="12" width="10.85546875" style="1" bestFit="1" customWidth="1"/>
    <col min="13" max="13" width="10.140625" style="1" customWidth="1"/>
    <col min="14" max="14" width="2.7109375" style="1" customWidth="1"/>
    <col min="15" max="15" width="11.85546875" style="1" bestFit="1" customWidth="1"/>
    <col min="16" max="19" width="9.140625" style="1"/>
    <col min="20" max="20" width="10.140625" style="1" customWidth="1"/>
    <col min="21" max="21" width="1.85546875" style="1" customWidth="1"/>
    <col min="22" max="22" width="4.42578125" style="1" customWidth="1"/>
    <col min="23" max="23" width="35.42578125" style="1" bestFit="1" customWidth="1"/>
    <col min="24" max="24" width="10.85546875" style="1" bestFit="1" customWidth="1"/>
    <col min="25" max="25" width="3.5703125" style="1" customWidth="1"/>
    <col min="26" max="26" width="10.85546875" style="1" bestFit="1" customWidth="1"/>
    <col min="27" max="27" width="3.28515625" style="1" customWidth="1"/>
    <col min="28" max="28" width="3.140625" style="1" customWidth="1"/>
    <col min="29" max="29" width="2.85546875" style="1" customWidth="1"/>
    <col min="30" max="30" width="35.42578125" style="1" bestFit="1" customWidth="1"/>
    <col min="31" max="31" width="24.5703125" style="1" customWidth="1"/>
    <col min="32" max="32" width="11.140625" style="1" customWidth="1"/>
    <col min="33" max="33" width="9" style="1" customWidth="1"/>
    <col min="34" max="34" width="3" style="1" customWidth="1"/>
    <col min="35" max="36" width="9.140625" style="1"/>
    <col min="37" max="37" width="35.42578125" style="1" bestFit="1" customWidth="1"/>
    <col min="38" max="16384" width="9.140625" style="1"/>
  </cols>
  <sheetData>
    <row r="3" spans="2:34" ht="26.25" x14ac:dyDescent="0.4">
      <c r="B3" s="209" t="s">
        <v>55</v>
      </c>
      <c r="C3" s="210"/>
      <c r="D3" s="210"/>
      <c r="E3" s="210"/>
      <c r="F3" s="61" t="s">
        <v>110</v>
      </c>
      <c r="H3" s="205" t="s">
        <v>0</v>
      </c>
      <c r="I3" s="206"/>
      <c r="J3" s="206"/>
      <c r="K3" s="206"/>
      <c r="L3" s="206"/>
      <c r="M3" s="206"/>
      <c r="O3" s="205" t="s">
        <v>129</v>
      </c>
      <c r="P3" s="206"/>
      <c r="Q3" s="206"/>
      <c r="R3" s="206"/>
      <c r="S3" s="206"/>
      <c r="T3" s="206"/>
      <c r="V3" s="199" t="s">
        <v>81</v>
      </c>
      <c r="W3" s="200"/>
      <c r="X3" s="200"/>
      <c r="Y3" s="200"/>
      <c r="Z3" s="200"/>
      <c r="AA3" s="200"/>
      <c r="AC3" s="192" t="s">
        <v>22</v>
      </c>
      <c r="AD3" s="193"/>
      <c r="AE3" s="193"/>
      <c r="AF3" s="193"/>
      <c r="AG3" s="193"/>
      <c r="AH3" s="194"/>
    </row>
    <row r="4" spans="2:34" ht="26.25" customHeight="1" x14ac:dyDescent="0.35">
      <c r="B4" s="47" t="s">
        <v>56</v>
      </c>
      <c r="C4" s="47" t="s">
        <v>57</v>
      </c>
      <c r="D4" s="47" t="s">
        <v>65</v>
      </c>
      <c r="E4" s="47" t="s">
        <v>58</v>
      </c>
      <c r="F4" s="47" t="s">
        <v>59</v>
      </c>
      <c r="H4" s="207" t="s">
        <v>93</v>
      </c>
      <c r="I4" s="208"/>
      <c r="J4" s="208"/>
      <c r="K4" s="208"/>
      <c r="L4" s="208"/>
      <c r="M4" s="208"/>
      <c r="O4" s="207" t="s">
        <v>130</v>
      </c>
      <c r="P4" s="208"/>
      <c r="Q4" s="208"/>
      <c r="R4" s="208"/>
      <c r="S4" s="208"/>
      <c r="T4" s="208"/>
      <c r="V4" s="199" t="s">
        <v>155</v>
      </c>
      <c r="W4" s="200"/>
      <c r="X4" s="200"/>
      <c r="Y4" s="200"/>
      <c r="Z4" s="200"/>
      <c r="AA4" s="200"/>
      <c r="AC4" s="199" t="s">
        <v>23</v>
      </c>
      <c r="AD4" s="200"/>
      <c r="AE4" s="200"/>
      <c r="AF4" s="200"/>
      <c r="AG4" s="200"/>
      <c r="AH4" s="201"/>
    </row>
    <row r="5" spans="2:34" ht="18.75" x14ac:dyDescent="0.3">
      <c r="B5" s="49"/>
      <c r="C5" s="62" t="s">
        <v>111</v>
      </c>
      <c r="D5" s="49"/>
      <c r="E5" s="49"/>
      <c r="F5" s="49"/>
      <c r="H5" s="45" t="s">
        <v>56</v>
      </c>
      <c r="I5" s="57" t="s">
        <v>87</v>
      </c>
      <c r="J5" s="45" t="s">
        <v>65</v>
      </c>
      <c r="K5" s="45" t="s">
        <v>106</v>
      </c>
      <c r="L5" s="45" t="s">
        <v>107</v>
      </c>
      <c r="M5" s="45" t="s">
        <v>88</v>
      </c>
      <c r="O5" s="45" t="s">
        <v>56</v>
      </c>
      <c r="P5" s="57" t="s">
        <v>87</v>
      </c>
      <c r="Q5" s="45" t="s">
        <v>65</v>
      </c>
      <c r="R5" s="45" t="s">
        <v>108</v>
      </c>
      <c r="S5" s="45" t="s">
        <v>109</v>
      </c>
      <c r="T5" s="45" t="s">
        <v>88</v>
      </c>
      <c r="V5" s="199" t="s">
        <v>83</v>
      </c>
      <c r="W5" s="200"/>
      <c r="X5" s="200"/>
      <c r="Y5" s="200"/>
      <c r="Z5" s="200"/>
      <c r="AA5" s="200"/>
      <c r="AC5" s="199" t="s">
        <v>31</v>
      </c>
      <c r="AD5" s="200"/>
      <c r="AE5" s="200"/>
      <c r="AF5" s="200"/>
      <c r="AG5" s="200"/>
      <c r="AH5" s="201"/>
    </row>
    <row r="6" spans="2:34" x14ac:dyDescent="0.25">
      <c r="B6" s="48" t="s">
        <v>112</v>
      </c>
      <c r="C6" s="49" t="s">
        <v>113</v>
      </c>
      <c r="D6" s="49">
        <v>631</v>
      </c>
      <c r="E6" s="50">
        <v>1500</v>
      </c>
      <c r="F6" s="50"/>
      <c r="H6" s="43" t="s">
        <v>63</v>
      </c>
      <c r="I6" s="43"/>
      <c r="J6" s="43" t="s">
        <v>89</v>
      </c>
      <c r="K6" s="58">
        <v>10000</v>
      </c>
      <c r="L6" s="58"/>
      <c r="M6" s="58">
        <f>K6</f>
        <v>10000</v>
      </c>
      <c r="O6" s="63" t="s">
        <v>133</v>
      </c>
      <c r="P6" s="63" t="s">
        <v>132</v>
      </c>
      <c r="Q6" s="63" t="s">
        <v>131</v>
      </c>
      <c r="R6" s="64"/>
      <c r="S6" s="64">
        <v>50</v>
      </c>
      <c r="T6" s="64">
        <f>S6</f>
        <v>50</v>
      </c>
      <c r="V6" s="69"/>
      <c r="W6" s="69"/>
      <c r="X6" s="69"/>
      <c r="Y6" s="69"/>
      <c r="Z6" s="69"/>
      <c r="AA6" s="69"/>
      <c r="AC6" s="24"/>
      <c r="AD6" s="17"/>
      <c r="AE6" s="17"/>
      <c r="AF6" s="17"/>
      <c r="AG6" s="17"/>
      <c r="AH6" s="25"/>
    </row>
    <row r="7" spans="2:34" x14ac:dyDescent="0.25">
      <c r="B7" s="49"/>
      <c r="C7" s="49" t="s">
        <v>114</v>
      </c>
      <c r="D7" s="49">
        <v>126</v>
      </c>
      <c r="E7" s="50"/>
      <c r="F7" s="50">
        <v>1500</v>
      </c>
      <c r="H7" s="43">
        <v>2</v>
      </c>
      <c r="I7" s="43"/>
      <c r="J7" s="43" t="s">
        <v>89</v>
      </c>
      <c r="K7" s="58">
        <v>1200</v>
      </c>
      <c r="L7" s="58"/>
      <c r="M7" s="58">
        <f t="shared" ref="M7:M12" si="0">M6+K7-L7</f>
        <v>11200</v>
      </c>
      <c r="O7" s="65"/>
      <c r="P7" s="65"/>
      <c r="Q7" s="65"/>
      <c r="R7" s="66"/>
      <c r="S7" s="66"/>
      <c r="T7" s="66"/>
      <c r="V7" s="69"/>
      <c r="W7" s="69"/>
      <c r="X7" s="70" t="s">
        <v>58</v>
      </c>
      <c r="Y7" s="71"/>
      <c r="Z7" s="70" t="s">
        <v>59</v>
      </c>
      <c r="AA7" s="69"/>
      <c r="AC7" s="24"/>
      <c r="AD7" s="17" t="s">
        <v>24</v>
      </c>
      <c r="AE7" s="17"/>
      <c r="AF7" s="26"/>
      <c r="AG7" s="26"/>
      <c r="AH7" s="25"/>
    </row>
    <row r="8" spans="2:34" x14ac:dyDescent="0.25">
      <c r="B8" s="49"/>
      <c r="C8" s="49" t="s">
        <v>115</v>
      </c>
      <c r="D8" s="49"/>
      <c r="E8" s="50"/>
      <c r="F8" s="50"/>
      <c r="H8" s="43">
        <v>3</v>
      </c>
      <c r="I8" s="43"/>
      <c r="J8" s="43" t="s">
        <v>89</v>
      </c>
      <c r="K8" s="58"/>
      <c r="L8" s="58">
        <v>900</v>
      </c>
      <c r="M8" s="58">
        <f t="shared" si="0"/>
        <v>10300</v>
      </c>
      <c r="V8" s="69"/>
      <c r="W8" s="69" t="s">
        <v>0</v>
      </c>
      <c r="X8" s="78">
        <v>15200</v>
      </c>
      <c r="Y8" s="72"/>
      <c r="Z8" s="72"/>
      <c r="AA8" s="69"/>
      <c r="AC8" s="24"/>
      <c r="AE8" s="17" t="s">
        <v>16</v>
      </c>
      <c r="AF8" s="26"/>
      <c r="AG8" s="26">
        <v>10600</v>
      </c>
      <c r="AH8" s="25"/>
    </row>
    <row r="9" spans="2:34" ht="21" x14ac:dyDescent="0.35">
      <c r="B9" s="49"/>
      <c r="C9" s="49"/>
      <c r="D9" s="49"/>
      <c r="E9" s="50"/>
      <c r="F9" s="50"/>
      <c r="H9" s="43">
        <v>4</v>
      </c>
      <c r="I9" s="43"/>
      <c r="J9" s="43" t="s">
        <v>89</v>
      </c>
      <c r="K9" s="58"/>
      <c r="L9" s="58">
        <v>600</v>
      </c>
      <c r="M9" s="58">
        <f t="shared" si="0"/>
        <v>9700</v>
      </c>
      <c r="O9" s="205" t="s">
        <v>74</v>
      </c>
      <c r="P9" s="206"/>
      <c r="Q9" s="206"/>
      <c r="R9" s="206"/>
      <c r="S9" s="206"/>
      <c r="T9" s="206"/>
      <c r="V9" s="69"/>
      <c r="W9" s="69" t="s">
        <v>2</v>
      </c>
      <c r="X9" s="75">
        <v>200</v>
      </c>
      <c r="Y9" s="72"/>
      <c r="Z9" s="72"/>
      <c r="AA9" s="69"/>
      <c r="AC9" s="24"/>
      <c r="AD9" s="17" t="s">
        <v>13</v>
      </c>
      <c r="AE9" s="17"/>
      <c r="AF9" s="26"/>
      <c r="AG9" s="26"/>
      <c r="AH9" s="25"/>
    </row>
    <row r="10" spans="2:34" ht="21" x14ac:dyDescent="0.35">
      <c r="B10" s="49">
        <v>31</v>
      </c>
      <c r="C10" s="49" t="s">
        <v>116</v>
      </c>
      <c r="D10" s="49">
        <v>722</v>
      </c>
      <c r="E10" s="50">
        <v>50</v>
      </c>
      <c r="F10" s="50"/>
      <c r="H10" s="43">
        <v>20</v>
      </c>
      <c r="I10" s="43"/>
      <c r="J10" s="43" t="s">
        <v>89</v>
      </c>
      <c r="K10" s="58"/>
      <c r="L10" s="58">
        <v>500</v>
      </c>
      <c r="M10" s="58">
        <f t="shared" si="0"/>
        <v>9200</v>
      </c>
      <c r="O10" s="207" t="s">
        <v>99</v>
      </c>
      <c r="P10" s="208"/>
      <c r="Q10" s="208"/>
      <c r="R10" s="208"/>
      <c r="S10" s="208"/>
      <c r="T10" s="208"/>
      <c r="V10" s="69"/>
      <c r="W10" s="69" t="s">
        <v>3</v>
      </c>
      <c r="X10" s="75">
        <v>1000</v>
      </c>
      <c r="Y10" s="72"/>
      <c r="Z10" s="72"/>
      <c r="AA10" s="69"/>
      <c r="AC10" s="24"/>
      <c r="AE10" s="83" t="s">
        <v>25</v>
      </c>
      <c r="AF10" s="86">
        <v>5200</v>
      </c>
      <c r="AG10" s="26"/>
      <c r="AH10" s="25"/>
    </row>
    <row r="11" spans="2:34" ht="18.75" x14ac:dyDescent="0.3">
      <c r="B11" s="49"/>
      <c r="C11" s="49" t="s">
        <v>117</v>
      </c>
      <c r="D11" s="49">
        <v>130</v>
      </c>
      <c r="E11" s="50"/>
      <c r="F11" s="50">
        <v>50</v>
      </c>
      <c r="H11" s="43">
        <v>26</v>
      </c>
      <c r="I11" s="43"/>
      <c r="J11" s="43" t="s">
        <v>89</v>
      </c>
      <c r="K11" s="58"/>
      <c r="L11" s="58">
        <v>4000</v>
      </c>
      <c r="M11" s="58">
        <f t="shared" si="0"/>
        <v>5200</v>
      </c>
      <c r="O11" s="45" t="s">
        <v>56</v>
      </c>
      <c r="P11" s="57" t="s">
        <v>87</v>
      </c>
      <c r="Q11" s="45" t="s">
        <v>65</v>
      </c>
      <c r="R11" s="45" t="s">
        <v>108</v>
      </c>
      <c r="S11" s="45" t="s">
        <v>109</v>
      </c>
      <c r="T11" s="45" t="s">
        <v>88</v>
      </c>
      <c r="V11" s="69"/>
      <c r="W11" s="69" t="s">
        <v>70</v>
      </c>
      <c r="X11" s="75">
        <v>550</v>
      </c>
      <c r="Y11" s="72"/>
      <c r="Z11" s="72"/>
      <c r="AA11" s="69"/>
      <c r="AC11" s="24"/>
      <c r="AE11" s="84" t="s">
        <v>170</v>
      </c>
      <c r="AF11" s="87">
        <v>1500</v>
      </c>
      <c r="AG11" s="26"/>
      <c r="AH11" s="25"/>
    </row>
    <row r="12" spans="2:34" x14ac:dyDescent="0.25">
      <c r="B12" s="49"/>
      <c r="C12" s="49" t="s">
        <v>121</v>
      </c>
      <c r="D12" s="49"/>
      <c r="E12" s="50"/>
      <c r="F12" s="50"/>
      <c r="H12" s="43">
        <v>31</v>
      </c>
      <c r="I12" s="43"/>
      <c r="J12" s="43" t="s">
        <v>89</v>
      </c>
      <c r="K12" s="58">
        <v>10000</v>
      </c>
      <c r="L12" s="58"/>
      <c r="M12" s="58">
        <f t="shared" si="0"/>
        <v>15200</v>
      </c>
      <c r="O12" s="43" t="s">
        <v>91</v>
      </c>
      <c r="P12" s="43"/>
      <c r="Q12" s="43" t="s">
        <v>89</v>
      </c>
      <c r="R12" s="58"/>
      <c r="S12" s="58">
        <v>10000</v>
      </c>
      <c r="T12" s="58">
        <f>S12</f>
        <v>10000</v>
      </c>
      <c r="V12" s="69"/>
      <c r="W12" s="69" t="s">
        <v>145</v>
      </c>
      <c r="X12" s="72">
        <v>5000</v>
      </c>
      <c r="Y12" s="72"/>
      <c r="Z12" s="72"/>
      <c r="AA12" s="69"/>
      <c r="AC12" s="24"/>
      <c r="AE12" s="83" t="s">
        <v>18</v>
      </c>
      <c r="AF12" s="87">
        <v>900</v>
      </c>
      <c r="AG12" s="26"/>
      <c r="AH12" s="25"/>
    </row>
    <row r="13" spans="2:34" x14ac:dyDescent="0.25">
      <c r="B13" s="49"/>
      <c r="C13" s="49"/>
      <c r="D13" s="49"/>
      <c r="E13" s="50"/>
      <c r="F13" s="50"/>
      <c r="H13" s="44"/>
      <c r="I13" s="44"/>
      <c r="J13" s="44"/>
      <c r="K13" s="59"/>
      <c r="L13" s="59"/>
      <c r="M13" s="59"/>
      <c r="O13" s="44"/>
      <c r="P13" s="44"/>
      <c r="Q13" s="44"/>
      <c r="R13" s="59"/>
      <c r="S13" s="59"/>
      <c r="T13" s="59"/>
      <c r="V13" s="69"/>
      <c r="W13" s="69" t="s">
        <v>179</v>
      </c>
      <c r="X13" s="72"/>
      <c r="Y13" s="72"/>
      <c r="Z13" s="77">
        <v>40</v>
      </c>
      <c r="AA13" s="69"/>
      <c r="AC13" s="24"/>
      <c r="AE13" s="84" t="s">
        <v>116</v>
      </c>
      <c r="AF13" s="87">
        <v>50</v>
      </c>
      <c r="AG13" s="26"/>
      <c r="AH13" s="25"/>
    </row>
    <row r="14" spans="2:34" x14ac:dyDescent="0.25">
      <c r="B14" s="49">
        <v>31</v>
      </c>
      <c r="C14" s="49" t="s">
        <v>118</v>
      </c>
      <c r="D14" s="49">
        <v>711</v>
      </c>
      <c r="E14" s="50">
        <v>40</v>
      </c>
      <c r="F14" s="50"/>
      <c r="V14" s="69"/>
      <c r="W14" s="69" t="s">
        <v>146</v>
      </c>
      <c r="X14" s="72"/>
      <c r="Y14" s="72"/>
      <c r="Z14" s="72">
        <v>5000</v>
      </c>
      <c r="AA14" s="69"/>
      <c r="AC14" s="24"/>
      <c r="AE14" s="85" t="s">
        <v>123</v>
      </c>
      <c r="AF14" s="86">
        <v>50</v>
      </c>
      <c r="AG14" s="26"/>
      <c r="AH14" s="25"/>
    </row>
    <row r="15" spans="2:34" ht="21" x14ac:dyDescent="0.35">
      <c r="B15" s="49"/>
      <c r="C15" s="49" t="s">
        <v>119</v>
      </c>
      <c r="D15" s="49">
        <v>158</v>
      </c>
      <c r="E15" s="50"/>
      <c r="F15" s="50">
        <v>40</v>
      </c>
      <c r="H15" s="205" t="s">
        <v>2</v>
      </c>
      <c r="I15" s="206"/>
      <c r="J15" s="206"/>
      <c r="K15" s="206"/>
      <c r="L15" s="206"/>
      <c r="M15" s="206"/>
      <c r="O15" s="205" t="s">
        <v>100</v>
      </c>
      <c r="P15" s="206"/>
      <c r="Q15" s="206"/>
      <c r="R15" s="206"/>
      <c r="S15" s="206"/>
      <c r="T15" s="206"/>
      <c r="V15" s="69"/>
      <c r="W15" s="69" t="s">
        <v>7</v>
      </c>
      <c r="X15" s="69"/>
      <c r="Y15" s="69"/>
      <c r="Z15" s="69">
        <v>2500</v>
      </c>
      <c r="AA15" s="69"/>
      <c r="AC15" s="24"/>
      <c r="AE15" s="85" t="s">
        <v>118</v>
      </c>
      <c r="AF15" s="87">
        <v>40</v>
      </c>
      <c r="AG15" s="26"/>
      <c r="AH15" s="25"/>
    </row>
    <row r="16" spans="2:34" ht="21" x14ac:dyDescent="0.35">
      <c r="B16" s="49"/>
      <c r="C16" s="49" t="s">
        <v>120</v>
      </c>
      <c r="D16" s="49"/>
      <c r="E16" s="50"/>
      <c r="F16" s="50"/>
      <c r="H16" s="207" t="s">
        <v>140</v>
      </c>
      <c r="I16" s="208"/>
      <c r="J16" s="208"/>
      <c r="K16" s="208"/>
      <c r="L16" s="208"/>
      <c r="M16" s="208"/>
      <c r="O16" s="207" t="s">
        <v>101</v>
      </c>
      <c r="P16" s="208"/>
      <c r="Q16" s="208"/>
      <c r="R16" s="208"/>
      <c r="S16" s="208"/>
      <c r="T16" s="208"/>
      <c r="V16" s="69"/>
      <c r="W16" s="69" t="s">
        <v>148</v>
      </c>
      <c r="X16" s="72"/>
      <c r="Y16" s="72"/>
      <c r="Z16" s="75">
        <v>50</v>
      </c>
      <c r="AA16" s="69"/>
      <c r="AC16" s="24"/>
      <c r="AD16" s="19"/>
      <c r="AE16" s="17"/>
      <c r="AF16" s="22"/>
      <c r="AG16" s="26"/>
      <c r="AH16" s="25"/>
    </row>
    <row r="17" spans="2:34" ht="18.75" x14ac:dyDescent="0.3">
      <c r="B17" s="49"/>
      <c r="C17" s="49"/>
      <c r="D17" s="49"/>
      <c r="E17" s="50"/>
      <c r="F17" s="50"/>
      <c r="H17" s="45" t="s">
        <v>56</v>
      </c>
      <c r="I17" s="57" t="s">
        <v>87</v>
      </c>
      <c r="J17" s="45" t="s">
        <v>65</v>
      </c>
      <c r="K17" s="45" t="s">
        <v>106</v>
      </c>
      <c r="L17" s="45" t="s">
        <v>107</v>
      </c>
      <c r="M17" s="45" t="s">
        <v>88</v>
      </c>
      <c r="O17" s="45" t="s">
        <v>56</v>
      </c>
      <c r="P17" s="57" t="s">
        <v>87</v>
      </c>
      <c r="Q17" s="45" t="s">
        <v>65</v>
      </c>
      <c r="R17" s="45" t="s">
        <v>106</v>
      </c>
      <c r="S17" s="45" t="s">
        <v>107</v>
      </c>
      <c r="T17" s="45" t="s">
        <v>88</v>
      </c>
      <c r="V17" s="69"/>
      <c r="W17" s="69" t="s">
        <v>85</v>
      </c>
      <c r="X17" s="72"/>
      <c r="Y17" s="72"/>
      <c r="Z17" s="75">
        <v>800</v>
      </c>
      <c r="AA17" s="69"/>
      <c r="AC17" s="24"/>
      <c r="AE17" s="28" t="s">
        <v>27</v>
      </c>
      <c r="AF17" s="26"/>
      <c r="AG17" s="23">
        <f>SUM(AF10:AF16)</f>
        <v>7740</v>
      </c>
      <c r="AH17" s="25"/>
    </row>
    <row r="18" spans="2:34" ht="19.5" thickBot="1" x14ac:dyDescent="0.35">
      <c r="B18" s="49">
        <v>31</v>
      </c>
      <c r="C18" s="49" t="s">
        <v>85</v>
      </c>
      <c r="D18" s="49">
        <v>209</v>
      </c>
      <c r="E18" s="50">
        <v>400</v>
      </c>
      <c r="F18" s="50"/>
      <c r="H18" s="67" t="s">
        <v>133</v>
      </c>
      <c r="I18" s="67" t="s">
        <v>132</v>
      </c>
      <c r="J18" s="67" t="s">
        <v>131</v>
      </c>
      <c r="K18" s="68">
        <v>200</v>
      </c>
      <c r="L18" s="68"/>
      <c r="M18" s="68">
        <f>K18</f>
        <v>200</v>
      </c>
      <c r="O18" s="43" t="s">
        <v>91</v>
      </c>
      <c r="P18" s="43"/>
      <c r="Q18" s="43" t="s">
        <v>89</v>
      </c>
      <c r="R18" s="58">
        <v>500</v>
      </c>
      <c r="S18" s="58"/>
      <c r="T18" s="58">
        <f>R18</f>
        <v>500</v>
      </c>
      <c r="V18" s="69"/>
      <c r="W18" s="69" t="s">
        <v>147</v>
      </c>
      <c r="X18" s="72"/>
      <c r="Y18" s="72"/>
      <c r="Z18" s="75">
        <v>1200</v>
      </c>
      <c r="AA18" s="69"/>
      <c r="AC18" s="24"/>
      <c r="AD18" s="28" t="s">
        <v>28</v>
      </c>
      <c r="AE18" s="17"/>
      <c r="AF18" s="26"/>
      <c r="AG18" s="88">
        <f>AG8-AG17</f>
        <v>2860</v>
      </c>
      <c r="AH18" s="25"/>
    </row>
    <row r="19" spans="2:34" ht="15.75" thickTop="1" x14ac:dyDescent="0.25">
      <c r="B19" s="49"/>
      <c r="C19" s="49" t="s">
        <v>79</v>
      </c>
      <c r="D19" s="49">
        <v>400</v>
      </c>
      <c r="E19" s="50"/>
      <c r="F19" s="50">
        <v>400</v>
      </c>
      <c r="H19" s="44"/>
      <c r="I19" s="44"/>
      <c r="J19" s="44"/>
      <c r="K19" s="59"/>
      <c r="L19" s="59"/>
      <c r="M19" s="59"/>
      <c r="O19" s="44"/>
      <c r="P19" s="44"/>
      <c r="Q19" s="44"/>
      <c r="R19" s="59"/>
      <c r="S19" s="59"/>
      <c r="T19" s="59"/>
      <c r="V19" s="69"/>
      <c r="W19" s="69" t="s">
        <v>74</v>
      </c>
      <c r="X19" s="72"/>
      <c r="Y19" s="72"/>
      <c r="Z19" s="72">
        <v>10000</v>
      </c>
      <c r="AA19" s="69"/>
      <c r="AC19" s="29"/>
      <c r="AD19" s="2"/>
      <c r="AE19" s="2"/>
      <c r="AF19" s="2"/>
      <c r="AG19" s="2"/>
      <c r="AH19" s="5"/>
    </row>
    <row r="20" spans="2:34" x14ac:dyDescent="0.25">
      <c r="B20" s="49"/>
      <c r="C20" s="49" t="s">
        <v>122</v>
      </c>
      <c r="D20" s="49"/>
      <c r="E20" s="50"/>
      <c r="F20" s="50"/>
      <c r="V20" s="69"/>
      <c r="W20" s="69" t="s">
        <v>100</v>
      </c>
      <c r="X20" s="72">
        <v>500</v>
      </c>
      <c r="Y20" s="72"/>
      <c r="Z20" s="72"/>
      <c r="AA20" s="69"/>
    </row>
    <row r="21" spans="2:34" ht="21" x14ac:dyDescent="0.35">
      <c r="B21" s="49"/>
      <c r="C21" s="49"/>
      <c r="D21" s="49"/>
      <c r="E21" s="50"/>
      <c r="F21" s="50"/>
      <c r="H21" s="205" t="s">
        <v>3</v>
      </c>
      <c r="I21" s="206"/>
      <c r="J21" s="206"/>
      <c r="K21" s="206"/>
      <c r="L21" s="206"/>
      <c r="M21" s="206"/>
      <c r="O21" s="205" t="s">
        <v>102</v>
      </c>
      <c r="P21" s="206"/>
      <c r="Q21" s="206"/>
      <c r="R21" s="206"/>
      <c r="S21" s="206"/>
      <c r="T21" s="206"/>
      <c r="V21" s="69"/>
      <c r="W21" s="69" t="s">
        <v>102</v>
      </c>
      <c r="X21" s="69"/>
      <c r="Y21" s="69"/>
      <c r="Z21" s="69">
        <v>10600</v>
      </c>
      <c r="AA21" s="69"/>
      <c r="AC21" s="192" t="s">
        <v>22</v>
      </c>
      <c r="AD21" s="193"/>
      <c r="AE21" s="193"/>
      <c r="AF21" s="193"/>
      <c r="AG21" s="193"/>
      <c r="AH21" s="194"/>
    </row>
    <row r="22" spans="2:34" ht="21" x14ac:dyDescent="0.35">
      <c r="B22" s="49">
        <v>31</v>
      </c>
      <c r="C22" s="49" t="s">
        <v>2</v>
      </c>
      <c r="D22" s="49">
        <v>112</v>
      </c>
      <c r="E22" s="50">
        <v>200</v>
      </c>
      <c r="F22" s="50"/>
      <c r="H22" s="207" t="s">
        <v>141</v>
      </c>
      <c r="I22" s="208"/>
      <c r="J22" s="208"/>
      <c r="K22" s="208"/>
      <c r="L22" s="208"/>
      <c r="M22" s="208"/>
      <c r="O22" s="207" t="s">
        <v>103</v>
      </c>
      <c r="P22" s="208"/>
      <c r="Q22" s="208"/>
      <c r="R22" s="208"/>
      <c r="S22" s="208"/>
      <c r="T22" s="208"/>
      <c r="V22" s="69"/>
      <c r="W22" s="69" t="s">
        <v>77</v>
      </c>
      <c r="X22" s="76">
        <v>5200</v>
      </c>
      <c r="Y22" s="69"/>
      <c r="Z22" s="69"/>
      <c r="AA22" s="69"/>
      <c r="AC22" s="199" t="s">
        <v>29</v>
      </c>
      <c r="AD22" s="200"/>
      <c r="AE22" s="200"/>
      <c r="AF22" s="200"/>
      <c r="AG22" s="200"/>
      <c r="AH22" s="201"/>
    </row>
    <row r="23" spans="2:34" ht="18.75" x14ac:dyDescent="0.3">
      <c r="B23" s="49"/>
      <c r="C23" s="49" t="s">
        <v>79</v>
      </c>
      <c r="D23" s="49">
        <v>400</v>
      </c>
      <c r="E23" s="50"/>
      <c r="F23" s="50">
        <v>200</v>
      </c>
      <c r="H23" s="45" t="s">
        <v>56</v>
      </c>
      <c r="I23" s="57" t="s">
        <v>87</v>
      </c>
      <c r="J23" s="45" t="s">
        <v>65</v>
      </c>
      <c r="K23" s="45" t="s">
        <v>106</v>
      </c>
      <c r="L23" s="45" t="s">
        <v>107</v>
      </c>
      <c r="M23" s="45" t="s">
        <v>88</v>
      </c>
      <c r="O23" s="45" t="s">
        <v>56</v>
      </c>
      <c r="P23" s="57" t="s">
        <v>87</v>
      </c>
      <c r="Q23" s="45" t="s">
        <v>65</v>
      </c>
      <c r="R23" s="45" t="s">
        <v>108</v>
      </c>
      <c r="S23" s="45" t="s">
        <v>109</v>
      </c>
      <c r="T23" s="45" t="s">
        <v>88</v>
      </c>
      <c r="V23" s="69"/>
      <c r="W23" s="69" t="s">
        <v>113</v>
      </c>
      <c r="X23" s="76">
        <v>1500</v>
      </c>
      <c r="Y23" s="69"/>
      <c r="Z23" s="69"/>
      <c r="AA23" s="69"/>
      <c r="AC23" s="199" t="s">
        <v>30</v>
      </c>
      <c r="AD23" s="200"/>
      <c r="AE23" s="200"/>
      <c r="AF23" s="200"/>
      <c r="AG23" s="200"/>
      <c r="AH23" s="201"/>
    </row>
    <row r="24" spans="2:34" x14ac:dyDescent="0.25">
      <c r="B24" s="49"/>
      <c r="C24" s="49" t="s">
        <v>125</v>
      </c>
      <c r="D24" s="49"/>
      <c r="E24" s="50"/>
      <c r="F24" s="50"/>
      <c r="H24" s="43" t="s">
        <v>90</v>
      </c>
      <c r="I24" s="43"/>
      <c r="J24" s="43" t="s">
        <v>89</v>
      </c>
      <c r="K24" s="58">
        <v>2500</v>
      </c>
      <c r="L24" s="58"/>
      <c r="M24" s="58">
        <f>K24</f>
        <v>2500</v>
      </c>
      <c r="O24" s="49" t="s">
        <v>91</v>
      </c>
      <c r="P24" s="49"/>
      <c r="Q24" s="49" t="s">
        <v>89</v>
      </c>
      <c r="R24" s="50"/>
      <c r="S24" s="50">
        <v>10000</v>
      </c>
      <c r="T24" s="50">
        <f>S24</f>
        <v>10000</v>
      </c>
      <c r="V24" s="69"/>
      <c r="W24" s="69" t="s">
        <v>18</v>
      </c>
      <c r="X24" s="69">
        <v>900</v>
      </c>
      <c r="Y24" s="69"/>
      <c r="Z24" s="69"/>
      <c r="AA24" s="69"/>
      <c r="AC24" s="24"/>
      <c r="AD24" s="17"/>
      <c r="AE24" s="17"/>
      <c r="AF24" s="17"/>
      <c r="AG24" s="17"/>
      <c r="AH24" s="25"/>
    </row>
    <row r="25" spans="2:34" x14ac:dyDescent="0.25">
      <c r="B25" s="49"/>
      <c r="C25" s="49"/>
      <c r="D25" s="49"/>
      <c r="E25" s="50"/>
      <c r="F25" s="50"/>
      <c r="H25" s="67" t="s">
        <v>133</v>
      </c>
      <c r="I25" s="67" t="s">
        <v>132</v>
      </c>
      <c r="J25" s="67" t="s">
        <v>131</v>
      </c>
      <c r="K25" s="68"/>
      <c r="L25" s="68">
        <v>1500</v>
      </c>
      <c r="M25" s="68">
        <f>M24+K25-L25</f>
        <v>1000</v>
      </c>
      <c r="O25" s="67" t="s">
        <v>133</v>
      </c>
      <c r="P25" s="67" t="s">
        <v>132</v>
      </c>
      <c r="Q25" s="67" t="s">
        <v>131</v>
      </c>
      <c r="R25" s="68"/>
      <c r="S25" s="68">
        <v>400</v>
      </c>
      <c r="T25" s="68">
        <f>S25</f>
        <v>400</v>
      </c>
      <c r="V25" s="69"/>
      <c r="W25" s="69" t="s">
        <v>116</v>
      </c>
      <c r="X25" s="76">
        <v>50</v>
      </c>
      <c r="Y25" s="69"/>
      <c r="Z25" s="69"/>
      <c r="AA25" s="69"/>
      <c r="AC25" s="24"/>
      <c r="AD25" s="17" t="s">
        <v>32</v>
      </c>
      <c r="AE25" s="17"/>
      <c r="AF25" s="17"/>
      <c r="AG25" s="31">
        <v>0</v>
      </c>
      <c r="AH25" s="25"/>
    </row>
    <row r="26" spans="2:34" x14ac:dyDescent="0.25">
      <c r="B26" s="49">
        <v>31</v>
      </c>
      <c r="C26" s="49" t="s">
        <v>123</v>
      </c>
      <c r="D26" s="49">
        <v>905</v>
      </c>
      <c r="E26" s="50">
        <v>50</v>
      </c>
      <c r="F26" s="50"/>
      <c r="O26" s="67" t="s">
        <v>133</v>
      </c>
      <c r="P26" s="67" t="s">
        <v>132</v>
      </c>
      <c r="Q26" s="67" t="s">
        <v>131</v>
      </c>
      <c r="R26" s="68"/>
      <c r="S26" s="68">
        <v>200</v>
      </c>
      <c r="T26" s="68">
        <f>S26</f>
        <v>200</v>
      </c>
      <c r="V26" s="69"/>
      <c r="W26" s="69" t="s">
        <v>123</v>
      </c>
      <c r="X26" s="76">
        <v>50</v>
      </c>
      <c r="Y26" s="69"/>
      <c r="Z26" s="69"/>
      <c r="AA26" s="69"/>
      <c r="AC26" s="24"/>
      <c r="AD26" s="17" t="s">
        <v>171</v>
      </c>
      <c r="AE26" s="17"/>
      <c r="AF26" s="17"/>
      <c r="AG26" s="89">
        <v>10000</v>
      </c>
      <c r="AH26" s="25"/>
    </row>
    <row r="27" spans="2:34" ht="21" x14ac:dyDescent="0.35">
      <c r="B27" s="49"/>
      <c r="C27" s="49" t="s">
        <v>124</v>
      </c>
      <c r="D27" s="49">
        <v>230</v>
      </c>
      <c r="E27" s="50"/>
      <c r="F27" s="50">
        <v>50</v>
      </c>
      <c r="H27" s="205" t="s">
        <v>70</v>
      </c>
      <c r="I27" s="206"/>
      <c r="J27" s="206"/>
      <c r="K27" s="206"/>
      <c r="L27" s="206"/>
      <c r="M27" s="206"/>
      <c r="V27" s="69"/>
      <c r="W27" s="69" t="s">
        <v>118</v>
      </c>
      <c r="X27" s="76">
        <v>40</v>
      </c>
      <c r="Y27" s="69"/>
      <c r="Z27" s="69"/>
      <c r="AA27" s="69"/>
      <c r="AC27" s="24"/>
      <c r="AD27" s="17"/>
      <c r="AE27" s="17"/>
      <c r="AF27" s="17"/>
      <c r="AG27" s="36">
        <v>10000</v>
      </c>
      <c r="AH27" s="25"/>
    </row>
    <row r="28" spans="2:34" ht="21" x14ac:dyDescent="0.35">
      <c r="B28" s="49"/>
      <c r="C28" s="49" t="s">
        <v>128</v>
      </c>
      <c r="D28" s="49"/>
      <c r="E28" s="50"/>
      <c r="F28" s="50"/>
      <c r="H28" s="207" t="s">
        <v>94</v>
      </c>
      <c r="I28" s="208"/>
      <c r="J28" s="208"/>
      <c r="K28" s="208"/>
      <c r="L28" s="208"/>
      <c r="M28" s="208"/>
      <c r="O28" s="205" t="s">
        <v>113</v>
      </c>
      <c r="P28" s="206"/>
      <c r="Q28" s="206"/>
      <c r="R28" s="206"/>
      <c r="S28" s="206"/>
      <c r="T28" s="206"/>
      <c r="V28" s="69"/>
      <c r="W28" s="69"/>
      <c r="X28" s="69"/>
      <c r="Y28" s="69"/>
      <c r="Z28" s="69"/>
      <c r="AA28" s="69"/>
      <c r="AC28" s="24"/>
      <c r="AD28" s="17" t="s">
        <v>172</v>
      </c>
      <c r="AE28" s="17"/>
      <c r="AF28" s="17"/>
      <c r="AG28" s="89">
        <v>2860</v>
      </c>
      <c r="AH28" s="25"/>
    </row>
    <row r="29" spans="2:34" ht="21.75" thickBot="1" x14ac:dyDescent="0.4">
      <c r="B29" s="49"/>
      <c r="C29" s="49"/>
      <c r="D29" s="49"/>
      <c r="E29" s="50"/>
      <c r="F29" s="50"/>
      <c r="H29" s="45" t="s">
        <v>56</v>
      </c>
      <c r="I29" s="57" t="s">
        <v>87</v>
      </c>
      <c r="J29" s="45" t="s">
        <v>65</v>
      </c>
      <c r="K29" s="45" t="s">
        <v>106</v>
      </c>
      <c r="L29" s="45" t="s">
        <v>107</v>
      </c>
      <c r="M29" s="45" t="s">
        <v>88</v>
      </c>
      <c r="O29" s="207" t="s">
        <v>134</v>
      </c>
      <c r="P29" s="208"/>
      <c r="Q29" s="208"/>
      <c r="R29" s="208"/>
      <c r="S29" s="208"/>
      <c r="T29" s="208"/>
      <c r="V29" s="69"/>
      <c r="W29" s="69"/>
      <c r="X29" s="73">
        <f>SUM(X8:X28)</f>
        <v>30190</v>
      </c>
      <c r="Y29" s="74"/>
      <c r="Z29" s="73">
        <f>SUM(Z8:Z28)</f>
        <v>30190</v>
      </c>
      <c r="AA29" s="69"/>
      <c r="AC29" s="24"/>
      <c r="AD29" s="17"/>
      <c r="AE29" s="17"/>
      <c r="AF29" s="17"/>
      <c r="AG29" s="36">
        <v>12860</v>
      </c>
      <c r="AH29" s="25"/>
    </row>
    <row r="30" spans="2:34" ht="19.5" thickTop="1" x14ac:dyDescent="0.3">
      <c r="B30" s="49">
        <v>26</v>
      </c>
      <c r="C30" s="49" t="s">
        <v>77</v>
      </c>
      <c r="D30" s="49">
        <v>726</v>
      </c>
      <c r="E30" s="50">
        <v>1200</v>
      </c>
      <c r="F30" s="50"/>
      <c r="H30" s="43" t="s">
        <v>91</v>
      </c>
      <c r="I30" s="43"/>
      <c r="J30" s="43" t="s">
        <v>89</v>
      </c>
      <c r="K30" s="58">
        <v>600</v>
      </c>
      <c r="L30" s="58"/>
      <c r="M30" s="58">
        <f>K30</f>
        <v>600</v>
      </c>
      <c r="O30" s="45" t="s">
        <v>56</v>
      </c>
      <c r="P30" s="57" t="s">
        <v>87</v>
      </c>
      <c r="Q30" s="45" t="s">
        <v>65</v>
      </c>
      <c r="R30" s="45" t="s">
        <v>106</v>
      </c>
      <c r="S30" s="45" t="s">
        <v>107</v>
      </c>
      <c r="T30" s="45" t="s">
        <v>88</v>
      </c>
      <c r="V30" s="69"/>
      <c r="W30" s="69"/>
      <c r="X30" s="69"/>
      <c r="Y30" s="69"/>
      <c r="Z30" s="69"/>
      <c r="AA30" s="69"/>
      <c r="AC30" s="24"/>
      <c r="AD30" s="17" t="s">
        <v>173</v>
      </c>
      <c r="AE30" s="17"/>
      <c r="AF30" s="17"/>
      <c r="AG30" s="36">
        <v>500</v>
      </c>
      <c r="AH30" s="25"/>
    </row>
    <row r="31" spans="2:34" ht="15.75" thickBot="1" x14ac:dyDescent="0.3">
      <c r="B31" s="49"/>
      <c r="C31" s="49" t="s">
        <v>127</v>
      </c>
      <c r="D31" s="49">
        <v>212</v>
      </c>
      <c r="E31" s="50"/>
      <c r="F31" s="50">
        <v>1200</v>
      </c>
      <c r="H31" s="67" t="s">
        <v>133</v>
      </c>
      <c r="I31" s="67" t="s">
        <v>132</v>
      </c>
      <c r="J31" s="67" t="s">
        <v>131</v>
      </c>
      <c r="K31" s="68"/>
      <c r="L31" s="68">
        <v>50</v>
      </c>
      <c r="M31" s="68">
        <f>M30+K31-L31</f>
        <v>550</v>
      </c>
      <c r="O31" s="67" t="s">
        <v>133</v>
      </c>
      <c r="P31" s="67" t="s">
        <v>132</v>
      </c>
      <c r="Q31" s="67" t="s">
        <v>131</v>
      </c>
      <c r="R31" s="68">
        <v>1500</v>
      </c>
      <c r="S31" s="68"/>
      <c r="T31" s="68">
        <f>R31</f>
        <v>1500</v>
      </c>
      <c r="AC31" s="24"/>
      <c r="AD31" s="17" t="s">
        <v>174</v>
      </c>
      <c r="AE31" s="17"/>
      <c r="AF31" s="17"/>
      <c r="AG31" s="90">
        <v>12360</v>
      </c>
      <c r="AH31" s="25"/>
    </row>
    <row r="32" spans="2:34" ht="12" customHeight="1" thickTop="1" x14ac:dyDescent="0.25">
      <c r="B32" s="49"/>
      <c r="C32" s="49" t="s">
        <v>126</v>
      </c>
      <c r="D32" s="5"/>
      <c r="E32" s="46"/>
      <c r="F32" s="46"/>
      <c r="O32" s="44"/>
      <c r="P32" s="44"/>
      <c r="Q32" s="44"/>
      <c r="R32" s="59"/>
      <c r="S32" s="59"/>
      <c r="T32" s="59"/>
      <c r="AC32" s="29"/>
      <c r="AD32" s="2"/>
      <c r="AE32" s="2"/>
      <c r="AF32" s="2"/>
      <c r="AG32" s="2"/>
      <c r="AH32" s="5"/>
    </row>
    <row r="33" spans="2:34" ht="21" x14ac:dyDescent="0.35">
      <c r="B33" s="236"/>
      <c r="C33" s="237"/>
      <c r="D33" s="237"/>
      <c r="E33" s="237"/>
      <c r="F33" s="238"/>
      <c r="H33" s="205" t="s">
        <v>61</v>
      </c>
      <c r="I33" s="206"/>
      <c r="J33" s="206"/>
      <c r="K33" s="206"/>
      <c r="L33" s="206"/>
      <c r="M33" s="206"/>
    </row>
    <row r="34" spans="2:34" ht="21" x14ac:dyDescent="0.35">
      <c r="E34" s="51">
        <f>SUM(E6:E33)</f>
        <v>3440</v>
      </c>
      <c r="F34" s="51">
        <f>SUM(F6:F33)</f>
        <v>3440</v>
      </c>
      <c r="H34" s="207" t="s">
        <v>95</v>
      </c>
      <c r="I34" s="208"/>
      <c r="J34" s="208"/>
      <c r="K34" s="208"/>
      <c r="L34" s="208"/>
      <c r="M34" s="208"/>
      <c r="AC34" s="192" t="s">
        <v>22</v>
      </c>
      <c r="AD34" s="193"/>
      <c r="AE34" s="193"/>
      <c r="AF34" s="193"/>
      <c r="AG34" s="193"/>
      <c r="AH34" s="194"/>
    </row>
    <row r="35" spans="2:34" ht="18.75" x14ac:dyDescent="0.3">
      <c r="H35" s="45" t="s">
        <v>56</v>
      </c>
      <c r="I35" s="57" t="s">
        <v>87</v>
      </c>
      <c r="J35" s="45" t="s">
        <v>65</v>
      </c>
      <c r="K35" s="45" t="s">
        <v>106</v>
      </c>
      <c r="L35" s="45" t="s">
        <v>107</v>
      </c>
      <c r="M35" s="45" t="s">
        <v>88</v>
      </c>
      <c r="AC35" s="199" t="s">
        <v>40</v>
      </c>
      <c r="AD35" s="200"/>
      <c r="AE35" s="200"/>
      <c r="AF35" s="200"/>
      <c r="AG35" s="200"/>
      <c r="AH35" s="201"/>
    </row>
    <row r="36" spans="2:34" ht="15.75" x14ac:dyDescent="0.25">
      <c r="H36" s="43" t="s">
        <v>91</v>
      </c>
      <c r="I36" s="43"/>
      <c r="J36" s="43" t="s">
        <v>89</v>
      </c>
      <c r="K36" s="58">
        <v>5000</v>
      </c>
      <c r="L36" s="58"/>
      <c r="M36" s="58">
        <f>K36</f>
        <v>5000</v>
      </c>
      <c r="AC36" s="199" t="s">
        <v>30</v>
      </c>
      <c r="AD36" s="200"/>
      <c r="AE36" s="200"/>
      <c r="AF36" s="200"/>
      <c r="AG36" s="200"/>
      <c r="AH36" s="201"/>
    </row>
    <row r="37" spans="2:34" ht="15.75" x14ac:dyDescent="0.25">
      <c r="H37" s="44"/>
      <c r="I37" s="44"/>
      <c r="J37" s="44"/>
      <c r="K37" s="59"/>
      <c r="L37" s="59"/>
      <c r="M37" s="59"/>
      <c r="AC37" s="204" t="s">
        <v>39</v>
      </c>
      <c r="AD37" s="202"/>
      <c r="AE37" s="202"/>
      <c r="AF37" s="202"/>
      <c r="AG37" s="202"/>
      <c r="AH37" s="203"/>
    </row>
    <row r="38" spans="2:34" x14ac:dyDescent="0.25">
      <c r="AC38" s="24"/>
      <c r="AD38" s="17" t="s">
        <v>0</v>
      </c>
      <c r="AE38" s="17"/>
      <c r="AF38" s="17"/>
      <c r="AG38" s="17">
        <v>15200</v>
      </c>
      <c r="AH38" s="25"/>
    </row>
    <row r="39" spans="2:34" ht="21" x14ac:dyDescent="0.35">
      <c r="H39" s="205" t="s">
        <v>149</v>
      </c>
      <c r="I39" s="206"/>
      <c r="J39" s="206"/>
      <c r="K39" s="206"/>
      <c r="L39" s="206"/>
      <c r="M39" s="206"/>
      <c r="AC39" s="24"/>
      <c r="AD39" s="17" t="s">
        <v>2</v>
      </c>
      <c r="AE39" s="17"/>
      <c r="AF39" s="17"/>
      <c r="AG39" s="17">
        <v>200</v>
      </c>
      <c r="AH39" s="25"/>
    </row>
    <row r="40" spans="2:34" ht="21" x14ac:dyDescent="0.35">
      <c r="H40" s="207" t="s">
        <v>143</v>
      </c>
      <c r="I40" s="208"/>
      <c r="J40" s="208"/>
      <c r="K40" s="208"/>
      <c r="L40" s="208"/>
      <c r="M40" s="208"/>
      <c r="O40" s="205" t="s">
        <v>116</v>
      </c>
      <c r="P40" s="206"/>
      <c r="Q40" s="206"/>
      <c r="R40" s="206"/>
      <c r="S40" s="206"/>
      <c r="T40" s="206"/>
      <c r="AC40" s="24"/>
      <c r="AD40" s="17" t="s">
        <v>3</v>
      </c>
      <c r="AE40" s="17"/>
      <c r="AF40" s="17"/>
      <c r="AG40" s="17">
        <v>1000</v>
      </c>
      <c r="AH40" s="25"/>
    </row>
    <row r="41" spans="2:34" ht="21" x14ac:dyDescent="0.35">
      <c r="H41" s="45" t="s">
        <v>56</v>
      </c>
      <c r="I41" s="57" t="s">
        <v>87</v>
      </c>
      <c r="J41" s="45" t="s">
        <v>65</v>
      </c>
      <c r="K41" s="45" t="s">
        <v>106</v>
      </c>
      <c r="L41" s="45" t="s">
        <v>107</v>
      </c>
      <c r="M41" s="45" t="s">
        <v>88</v>
      </c>
      <c r="O41" s="207" t="s">
        <v>135</v>
      </c>
      <c r="P41" s="208"/>
      <c r="Q41" s="208"/>
      <c r="R41" s="208"/>
      <c r="S41" s="208"/>
      <c r="T41" s="208"/>
      <c r="AC41" s="24"/>
      <c r="AD41" s="17" t="s">
        <v>70</v>
      </c>
      <c r="AE41" s="17"/>
      <c r="AF41" s="17"/>
      <c r="AG41" s="17">
        <v>550</v>
      </c>
      <c r="AH41" s="25"/>
    </row>
    <row r="42" spans="2:34" ht="18.75" x14ac:dyDescent="0.3">
      <c r="H42" s="67" t="s">
        <v>133</v>
      </c>
      <c r="I42" s="67" t="s">
        <v>132</v>
      </c>
      <c r="J42" s="67" t="s">
        <v>131</v>
      </c>
      <c r="K42" s="68"/>
      <c r="L42" s="68">
        <v>40</v>
      </c>
      <c r="M42" s="68">
        <f>L42</f>
        <v>40</v>
      </c>
      <c r="O42" s="45" t="s">
        <v>56</v>
      </c>
      <c r="P42" s="57" t="s">
        <v>87</v>
      </c>
      <c r="Q42" s="45" t="s">
        <v>65</v>
      </c>
      <c r="R42" s="45" t="s">
        <v>106</v>
      </c>
      <c r="S42" s="45" t="s">
        <v>107</v>
      </c>
      <c r="T42" s="45" t="s">
        <v>88</v>
      </c>
      <c r="AC42" s="24"/>
      <c r="AD42" s="17" t="s">
        <v>145</v>
      </c>
      <c r="AE42" s="17"/>
      <c r="AF42" s="17">
        <v>5000</v>
      </c>
      <c r="AG42" s="17"/>
      <c r="AH42" s="25"/>
    </row>
    <row r="43" spans="2:34" x14ac:dyDescent="0.25">
      <c r="H43" s="44"/>
      <c r="I43" s="44"/>
      <c r="J43" s="44"/>
      <c r="K43" s="59"/>
      <c r="L43" s="59"/>
      <c r="M43" s="59"/>
      <c r="O43" s="67" t="s">
        <v>133</v>
      </c>
      <c r="P43" s="67" t="s">
        <v>132</v>
      </c>
      <c r="Q43" s="67" t="s">
        <v>131</v>
      </c>
      <c r="R43" s="68">
        <v>50</v>
      </c>
      <c r="S43" s="68"/>
      <c r="T43" s="68">
        <f>R43</f>
        <v>50</v>
      </c>
      <c r="AC43" s="24"/>
      <c r="AD43" s="17" t="s">
        <v>142</v>
      </c>
      <c r="AE43" s="17"/>
      <c r="AF43" s="17">
        <v>40</v>
      </c>
      <c r="AG43" s="17">
        <v>4960</v>
      </c>
      <c r="AH43" s="25"/>
    </row>
    <row r="44" spans="2:34" ht="19.5" thickBot="1" x14ac:dyDescent="0.35">
      <c r="O44" s="44"/>
      <c r="P44" s="44"/>
      <c r="Q44" s="44"/>
      <c r="R44" s="59"/>
      <c r="S44" s="59"/>
      <c r="T44" s="59"/>
      <c r="AC44" s="24"/>
      <c r="AD44" s="27" t="s">
        <v>36</v>
      </c>
      <c r="AE44" s="17"/>
      <c r="AF44" s="17"/>
      <c r="AG44" s="40">
        <f>SUM(AG38:AG43)</f>
        <v>21910</v>
      </c>
      <c r="AH44" s="25"/>
    </row>
    <row r="45" spans="2:34" ht="21.75" thickTop="1" x14ac:dyDescent="0.35">
      <c r="H45" s="205" t="s">
        <v>142</v>
      </c>
      <c r="I45" s="206"/>
      <c r="J45" s="206"/>
      <c r="K45" s="206"/>
      <c r="L45" s="206"/>
      <c r="M45" s="206"/>
      <c r="AC45" s="24"/>
      <c r="AD45" s="17"/>
      <c r="AE45" s="17"/>
      <c r="AF45" s="17"/>
      <c r="AG45" s="17"/>
      <c r="AH45" s="25"/>
    </row>
    <row r="46" spans="2:34" ht="21" x14ac:dyDescent="0.35">
      <c r="H46" s="207" t="s">
        <v>143</v>
      </c>
      <c r="I46" s="208"/>
      <c r="J46" s="208"/>
      <c r="K46" s="208"/>
      <c r="L46" s="208"/>
      <c r="M46" s="208"/>
      <c r="O46" s="205" t="s">
        <v>77</v>
      </c>
      <c r="P46" s="206"/>
      <c r="Q46" s="206"/>
      <c r="R46" s="206"/>
      <c r="S46" s="206"/>
      <c r="T46" s="206"/>
      <c r="AC46" s="24"/>
      <c r="AD46" s="17"/>
      <c r="AE46" s="17"/>
      <c r="AF46" s="17"/>
      <c r="AG46" s="17"/>
      <c r="AH46" s="25"/>
    </row>
    <row r="47" spans="2:34" ht="21" x14ac:dyDescent="0.35">
      <c r="H47" s="45" t="s">
        <v>56</v>
      </c>
      <c r="I47" s="57" t="s">
        <v>87</v>
      </c>
      <c r="J47" s="45" t="s">
        <v>65</v>
      </c>
      <c r="K47" s="45" t="s">
        <v>106</v>
      </c>
      <c r="L47" s="45" t="s">
        <v>107</v>
      </c>
      <c r="M47" s="45" t="s">
        <v>88</v>
      </c>
      <c r="O47" s="207" t="s">
        <v>105</v>
      </c>
      <c r="P47" s="208"/>
      <c r="Q47" s="208"/>
      <c r="R47" s="208"/>
      <c r="S47" s="208"/>
      <c r="T47" s="208"/>
      <c r="AC47" s="204" t="s">
        <v>175</v>
      </c>
      <c r="AD47" s="202"/>
      <c r="AE47" s="202"/>
      <c r="AF47" s="202"/>
      <c r="AG47" s="202"/>
      <c r="AH47" s="203"/>
    </row>
    <row r="48" spans="2:34" ht="18.75" x14ac:dyDescent="0.3">
      <c r="H48" s="67" t="s">
        <v>133</v>
      </c>
      <c r="I48" s="67" t="s">
        <v>132</v>
      </c>
      <c r="J48" s="67" t="s">
        <v>131</v>
      </c>
      <c r="K48" s="68"/>
      <c r="L48" s="68">
        <v>40</v>
      </c>
      <c r="M48" s="68">
        <f>L48</f>
        <v>40</v>
      </c>
      <c r="O48" s="45" t="s">
        <v>56</v>
      </c>
      <c r="P48" s="57" t="s">
        <v>87</v>
      </c>
      <c r="Q48" s="45" t="s">
        <v>65</v>
      </c>
      <c r="R48" s="45" t="s">
        <v>106</v>
      </c>
      <c r="S48" s="45" t="s">
        <v>107</v>
      </c>
      <c r="T48" s="45" t="s">
        <v>88</v>
      </c>
      <c r="AC48" s="24"/>
      <c r="AD48" s="17" t="s">
        <v>146</v>
      </c>
      <c r="AE48" s="17"/>
      <c r="AF48" s="17"/>
      <c r="AG48" s="17">
        <v>5000</v>
      </c>
      <c r="AH48" s="25"/>
    </row>
    <row r="49" spans="8:34" x14ac:dyDescent="0.25">
      <c r="H49" s="44"/>
      <c r="I49" s="44"/>
      <c r="J49" s="44"/>
      <c r="K49" s="59"/>
      <c r="L49" s="59"/>
      <c r="M49" s="59"/>
      <c r="O49" s="43" t="s">
        <v>91</v>
      </c>
      <c r="P49" s="43"/>
      <c r="Q49" s="43" t="s">
        <v>89</v>
      </c>
      <c r="R49" s="58">
        <v>4000</v>
      </c>
      <c r="S49" s="58"/>
      <c r="T49" s="58">
        <f>R49</f>
        <v>4000</v>
      </c>
      <c r="AC49" s="24"/>
      <c r="AD49" s="17" t="s">
        <v>7</v>
      </c>
      <c r="AE49" s="17"/>
      <c r="AF49" s="17"/>
      <c r="AG49" s="17">
        <v>2500</v>
      </c>
      <c r="AH49" s="25"/>
    </row>
    <row r="50" spans="8:34" x14ac:dyDescent="0.25">
      <c r="O50" s="67" t="s">
        <v>133</v>
      </c>
      <c r="P50" s="67" t="s">
        <v>137</v>
      </c>
      <c r="Q50" s="67" t="s">
        <v>131</v>
      </c>
      <c r="R50" s="68">
        <v>1200</v>
      </c>
      <c r="S50" s="68"/>
      <c r="T50" s="68">
        <f>T49+R50-S50</f>
        <v>5200</v>
      </c>
      <c r="AC50" s="24"/>
      <c r="AD50" s="17" t="s">
        <v>85</v>
      </c>
      <c r="AE50" s="17"/>
      <c r="AF50" s="17"/>
      <c r="AG50" s="17">
        <v>800</v>
      </c>
      <c r="AH50" s="25"/>
    </row>
    <row r="51" spans="8:34" ht="21" x14ac:dyDescent="0.35">
      <c r="H51" s="205" t="s">
        <v>92</v>
      </c>
      <c r="I51" s="206"/>
      <c r="J51" s="206"/>
      <c r="K51" s="206"/>
      <c r="L51" s="206"/>
      <c r="M51" s="206"/>
      <c r="AC51" s="24"/>
      <c r="AD51" s="17" t="s">
        <v>147</v>
      </c>
      <c r="AE51" s="17"/>
      <c r="AF51" s="17"/>
      <c r="AG51" s="17">
        <v>1200</v>
      </c>
      <c r="AH51" s="25"/>
    </row>
    <row r="52" spans="8:34" ht="21" x14ac:dyDescent="0.35">
      <c r="H52" s="207" t="s">
        <v>96</v>
      </c>
      <c r="I52" s="208"/>
      <c r="J52" s="208"/>
      <c r="K52" s="208"/>
      <c r="L52" s="208"/>
      <c r="M52" s="208"/>
      <c r="O52" s="205" t="s">
        <v>18</v>
      </c>
      <c r="P52" s="206"/>
      <c r="Q52" s="206"/>
      <c r="R52" s="206"/>
      <c r="S52" s="206"/>
      <c r="T52" s="206"/>
      <c r="AC52" s="24"/>
      <c r="AD52" s="17" t="s">
        <v>148</v>
      </c>
      <c r="AE52" s="17"/>
      <c r="AF52" s="17"/>
      <c r="AG52" s="17">
        <v>50</v>
      </c>
      <c r="AH52" s="25"/>
    </row>
    <row r="53" spans="8:34" ht="21" x14ac:dyDescent="0.35">
      <c r="H53" s="45" t="s">
        <v>56</v>
      </c>
      <c r="I53" s="57" t="s">
        <v>87</v>
      </c>
      <c r="J53" s="45" t="s">
        <v>65</v>
      </c>
      <c r="K53" s="45" t="s">
        <v>108</v>
      </c>
      <c r="L53" s="45" t="s">
        <v>109</v>
      </c>
      <c r="M53" s="45" t="s">
        <v>88</v>
      </c>
      <c r="O53" s="207" t="s">
        <v>104</v>
      </c>
      <c r="P53" s="208"/>
      <c r="Q53" s="208"/>
      <c r="R53" s="208"/>
      <c r="S53" s="208"/>
      <c r="T53" s="208"/>
      <c r="AC53" s="24"/>
      <c r="AD53" s="17" t="s">
        <v>176</v>
      </c>
      <c r="AE53" s="17"/>
      <c r="AF53" s="17"/>
      <c r="AG53" s="41">
        <f>SUM(AG48:AG52)</f>
        <v>9550</v>
      </c>
      <c r="AH53" s="25"/>
    </row>
    <row r="54" spans="8:34" ht="18.75" x14ac:dyDescent="0.3">
      <c r="H54" s="43" t="s">
        <v>63</v>
      </c>
      <c r="I54" s="43"/>
      <c r="J54" s="43" t="s">
        <v>89</v>
      </c>
      <c r="K54" s="58">
        <v>5000</v>
      </c>
      <c r="L54" s="58"/>
      <c r="M54" s="58">
        <f>K54</f>
        <v>5000</v>
      </c>
      <c r="O54" s="45" t="s">
        <v>56</v>
      </c>
      <c r="P54" s="57" t="s">
        <v>87</v>
      </c>
      <c r="Q54" s="45" t="s">
        <v>65</v>
      </c>
      <c r="R54" s="45" t="s">
        <v>106</v>
      </c>
      <c r="S54" s="45" t="s">
        <v>107</v>
      </c>
      <c r="T54" s="45" t="s">
        <v>88</v>
      </c>
      <c r="AC54" s="24"/>
      <c r="AD54" s="17"/>
      <c r="AE54" s="17"/>
      <c r="AF54" s="17"/>
      <c r="AG54" s="17"/>
      <c r="AH54" s="25"/>
    </row>
    <row r="55" spans="8:34" x14ac:dyDescent="0.25">
      <c r="H55" s="44"/>
      <c r="I55" s="44"/>
      <c r="J55" s="44"/>
      <c r="K55" s="59"/>
      <c r="L55" s="59"/>
      <c r="M55" s="59"/>
      <c r="O55" s="43" t="s">
        <v>91</v>
      </c>
      <c r="P55" s="43"/>
      <c r="Q55" s="43" t="s">
        <v>89</v>
      </c>
      <c r="R55" s="58">
        <v>4000</v>
      </c>
      <c r="S55" s="58"/>
      <c r="T55" s="58">
        <f>R55</f>
        <v>4000</v>
      </c>
      <c r="AC55" s="24"/>
      <c r="AD55" s="17"/>
      <c r="AE55" s="17"/>
      <c r="AF55" s="17"/>
      <c r="AG55" s="17"/>
      <c r="AH55" s="25"/>
    </row>
    <row r="56" spans="8:34" ht="15.75" x14ac:dyDescent="0.25">
      <c r="O56" s="44"/>
      <c r="P56" s="44"/>
      <c r="Q56" s="44"/>
      <c r="R56" s="59"/>
      <c r="S56" s="59"/>
      <c r="T56" s="59"/>
      <c r="AC56" s="204" t="s">
        <v>177</v>
      </c>
      <c r="AD56" s="202"/>
      <c r="AE56" s="202"/>
      <c r="AF56" s="202"/>
      <c r="AG56" s="202"/>
      <c r="AH56" s="203"/>
    </row>
    <row r="57" spans="8:34" ht="21" x14ac:dyDescent="0.35">
      <c r="H57" s="205" t="s">
        <v>7</v>
      </c>
      <c r="I57" s="206"/>
      <c r="J57" s="206"/>
      <c r="K57" s="206"/>
      <c r="L57" s="206"/>
      <c r="M57" s="206"/>
      <c r="AC57" s="24"/>
      <c r="AD57" s="17"/>
      <c r="AE57" s="93"/>
      <c r="AF57" s="17"/>
      <c r="AG57" s="17">
        <v>12360</v>
      </c>
      <c r="AH57" s="25"/>
    </row>
    <row r="58" spans="8:34" ht="21.75" thickBot="1" x14ac:dyDescent="0.4">
      <c r="H58" s="207" t="s">
        <v>97</v>
      </c>
      <c r="I58" s="208"/>
      <c r="J58" s="208"/>
      <c r="K58" s="208"/>
      <c r="L58" s="208"/>
      <c r="M58" s="208"/>
      <c r="O58" s="205" t="s">
        <v>123</v>
      </c>
      <c r="P58" s="206"/>
      <c r="Q58" s="206"/>
      <c r="R58" s="206"/>
      <c r="S58" s="206"/>
      <c r="T58" s="206"/>
      <c r="AC58" s="24"/>
      <c r="AD58" s="17"/>
      <c r="AF58" s="17"/>
      <c r="AG58" s="40">
        <v>3</v>
      </c>
      <c r="AH58" s="25"/>
    </row>
    <row r="59" spans="8:34" ht="21.75" thickTop="1" x14ac:dyDescent="0.35">
      <c r="H59" s="45" t="s">
        <v>56</v>
      </c>
      <c r="I59" s="57" t="s">
        <v>87</v>
      </c>
      <c r="J59" s="45" t="s">
        <v>65</v>
      </c>
      <c r="K59" s="45" t="s">
        <v>108</v>
      </c>
      <c r="L59" s="45" t="s">
        <v>109</v>
      </c>
      <c r="M59" s="45" t="s">
        <v>88</v>
      </c>
      <c r="O59" s="207" t="s">
        <v>139</v>
      </c>
      <c r="P59" s="208"/>
      <c r="Q59" s="208"/>
      <c r="R59" s="208"/>
      <c r="S59" s="208"/>
      <c r="T59" s="208"/>
      <c r="AC59" s="29"/>
      <c r="AD59" s="2"/>
      <c r="AE59" s="2"/>
      <c r="AF59" s="2"/>
      <c r="AG59" s="2"/>
      <c r="AH59" s="5"/>
    </row>
    <row r="60" spans="8:34" ht="18.75" x14ac:dyDescent="0.3">
      <c r="H60" s="43" t="s">
        <v>91</v>
      </c>
      <c r="I60" s="43"/>
      <c r="J60" s="43" t="s">
        <v>89</v>
      </c>
      <c r="K60" s="58"/>
      <c r="L60" s="58">
        <v>2500</v>
      </c>
      <c r="M60" s="58">
        <f>L60</f>
        <v>2500</v>
      </c>
      <c r="O60" s="45" t="s">
        <v>56</v>
      </c>
      <c r="P60" s="57" t="s">
        <v>87</v>
      </c>
      <c r="Q60" s="45" t="s">
        <v>65</v>
      </c>
      <c r="R60" s="45" t="s">
        <v>106</v>
      </c>
      <c r="S60" s="45" t="s">
        <v>107</v>
      </c>
      <c r="T60" s="45" t="s">
        <v>88</v>
      </c>
    </row>
    <row r="61" spans="8:34" x14ac:dyDescent="0.25">
      <c r="H61" s="44"/>
      <c r="I61" s="44"/>
      <c r="J61" s="44"/>
      <c r="K61" s="59"/>
      <c r="L61" s="59"/>
      <c r="M61" s="59"/>
      <c r="O61" s="43" t="s">
        <v>91</v>
      </c>
      <c r="P61" s="43"/>
      <c r="Q61" s="43" t="s">
        <v>89</v>
      </c>
      <c r="R61" s="58">
        <v>50</v>
      </c>
      <c r="S61" s="58"/>
      <c r="T61" s="58">
        <f>R61</f>
        <v>50</v>
      </c>
      <c r="AE61" s="17"/>
    </row>
    <row r="62" spans="8:34" x14ac:dyDescent="0.25">
      <c r="O62" s="44"/>
      <c r="P62" s="44"/>
      <c r="Q62" s="44"/>
      <c r="R62" s="59"/>
      <c r="S62" s="59"/>
      <c r="T62" s="59"/>
    </row>
    <row r="63" spans="8:34" ht="21" x14ac:dyDescent="0.35">
      <c r="H63" s="205" t="s">
        <v>85</v>
      </c>
      <c r="I63" s="206"/>
      <c r="J63" s="206"/>
      <c r="K63" s="206"/>
      <c r="L63" s="206"/>
      <c r="M63" s="206"/>
    </row>
    <row r="64" spans="8:34" ht="21" x14ac:dyDescent="0.35">
      <c r="H64" s="207" t="s">
        <v>98</v>
      </c>
      <c r="I64" s="208"/>
      <c r="J64" s="208"/>
      <c r="K64" s="208"/>
      <c r="L64" s="208"/>
      <c r="M64" s="208"/>
    </row>
    <row r="65" spans="8:13" ht="18.75" x14ac:dyDescent="0.3">
      <c r="H65" s="45" t="s">
        <v>56</v>
      </c>
      <c r="I65" s="57" t="s">
        <v>87</v>
      </c>
      <c r="J65" s="45" t="s">
        <v>65</v>
      </c>
      <c r="K65" s="45" t="s">
        <v>108</v>
      </c>
      <c r="L65" s="45" t="s">
        <v>109</v>
      </c>
      <c r="M65" s="45" t="s">
        <v>88</v>
      </c>
    </row>
    <row r="66" spans="8:13" x14ac:dyDescent="0.25">
      <c r="H66" s="43" t="s">
        <v>91</v>
      </c>
      <c r="I66" s="43"/>
      <c r="J66" s="43" t="s">
        <v>89</v>
      </c>
      <c r="K66" s="58"/>
      <c r="L66" s="58">
        <v>1200</v>
      </c>
      <c r="M66" s="58">
        <f>L66</f>
        <v>1200</v>
      </c>
    </row>
    <row r="67" spans="8:13" x14ac:dyDescent="0.25">
      <c r="H67" s="67" t="s">
        <v>133</v>
      </c>
      <c r="I67" s="67" t="s">
        <v>132</v>
      </c>
      <c r="J67" s="67" t="s">
        <v>131</v>
      </c>
      <c r="K67" s="68">
        <v>400</v>
      </c>
      <c r="L67" s="68"/>
      <c r="M67" s="68">
        <f>M66-K67+L67</f>
        <v>800</v>
      </c>
    </row>
    <row r="69" spans="8:13" ht="21" x14ac:dyDescent="0.35">
      <c r="H69" s="205" t="s">
        <v>77</v>
      </c>
      <c r="I69" s="206"/>
      <c r="J69" s="206"/>
      <c r="K69" s="206"/>
      <c r="L69" s="206"/>
      <c r="M69" s="206"/>
    </row>
    <row r="70" spans="8:13" ht="21" x14ac:dyDescent="0.35">
      <c r="H70" s="207" t="s">
        <v>144</v>
      </c>
      <c r="I70" s="208"/>
      <c r="J70" s="208"/>
      <c r="K70" s="208"/>
      <c r="L70" s="208"/>
      <c r="M70" s="208"/>
    </row>
    <row r="71" spans="8:13" ht="18.75" x14ac:dyDescent="0.3">
      <c r="H71" s="45" t="s">
        <v>56</v>
      </c>
      <c r="I71" s="57" t="s">
        <v>87</v>
      </c>
      <c r="J71" s="45" t="s">
        <v>65</v>
      </c>
      <c r="K71" s="45" t="s">
        <v>106</v>
      </c>
      <c r="L71" s="45" t="s">
        <v>107</v>
      </c>
      <c r="M71" s="45" t="s">
        <v>88</v>
      </c>
    </row>
    <row r="72" spans="8:13" x14ac:dyDescent="0.25">
      <c r="H72" s="67" t="s">
        <v>133</v>
      </c>
      <c r="I72" s="67" t="s">
        <v>132</v>
      </c>
      <c r="J72" s="67" t="s">
        <v>131</v>
      </c>
      <c r="K72" s="68"/>
      <c r="L72" s="68">
        <v>1200</v>
      </c>
      <c r="M72" s="68">
        <f>L72</f>
        <v>1200</v>
      </c>
    </row>
    <row r="73" spans="8:13" x14ac:dyDescent="0.25">
      <c r="H73" s="67"/>
      <c r="I73" s="67"/>
      <c r="J73" s="67"/>
      <c r="K73" s="68"/>
      <c r="L73" s="68"/>
      <c r="M73" s="68"/>
    </row>
    <row r="82" spans="29:29" x14ac:dyDescent="0.25">
      <c r="AC82" s="91"/>
    </row>
    <row r="83" spans="29:29" x14ac:dyDescent="0.25">
      <c r="AC83" s="24"/>
    </row>
    <row r="84" spans="29:29" x14ac:dyDescent="0.25">
      <c r="AC84" s="24"/>
    </row>
    <row r="85" spans="29:29" x14ac:dyDescent="0.25">
      <c r="AC85" s="24"/>
    </row>
    <row r="86" spans="29:29" x14ac:dyDescent="0.25">
      <c r="AC86" s="24"/>
    </row>
    <row r="87" spans="29:29" x14ac:dyDescent="0.25">
      <c r="AC87" s="24"/>
    </row>
    <row r="88" spans="29:29" x14ac:dyDescent="0.25">
      <c r="AC88" s="24"/>
    </row>
    <row r="89" spans="29:29" x14ac:dyDescent="0.25">
      <c r="AC89" s="24"/>
    </row>
    <row r="90" spans="29:29" x14ac:dyDescent="0.25">
      <c r="AC90" s="24"/>
    </row>
    <row r="91" spans="29:29" x14ac:dyDescent="0.25">
      <c r="AC91" s="24"/>
    </row>
    <row r="92" spans="29:29" x14ac:dyDescent="0.25">
      <c r="AC92" s="24"/>
    </row>
    <row r="93" spans="29:29" x14ac:dyDescent="0.25">
      <c r="AC93" s="24"/>
    </row>
    <row r="94" spans="29:29" x14ac:dyDescent="0.25">
      <c r="AC94" s="24"/>
    </row>
    <row r="95" spans="29:29" x14ac:dyDescent="0.25">
      <c r="AC95" s="24"/>
    </row>
    <row r="96" spans="29:29" x14ac:dyDescent="0.25">
      <c r="AC96" s="24"/>
    </row>
    <row r="97" spans="29:37" x14ac:dyDescent="0.25">
      <c r="AC97" s="24"/>
    </row>
    <row r="98" spans="29:37" x14ac:dyDescent="0.25">
      <c r="AC98" s="24"/>
    </row>
    <row r="99" spans="29:37" x14ac:dyDescent="0.25">
      <c r="AC99" s="24"/>
    </row>
    <row r="100" spans="29:37" x14ac:dyDescent="0.25">
      <c r="AC100" s="24"/>
    </row>
    <row r="101" spans="29:37" x14ac:dyDescent="0.25">
      <c r="AC101" s="24"/>
    </row>
    <row r="102" spans="29:37" x14ac:dyDescent="0.25">
      <c r="AC102" s="239" t="s">
        <v>177</v>
      </c>
      <c r="AD102" s="240"/>
      <c r="AE102" s="240"/>
      <c r="AF102" s="240"/>
      <c r="AG102" s="240"/>
      <c r="AH102" s="240"/>
      <c r="AI102" s="240"/>
      <c r="AJ102" s="240"/>
      <c r="AK102" s="240"/>
    </row>
    <row r="103" spans="29:37" x14ac:dyDescent="0.25">
      <c r="AC103" s="24"/>
      <c r="AD103" s="17"/>
      <c r="AE103" s="17"/>
      <c r="AF103" s="17"/>
      <c r="AG103" s="17"/>
      <c r="AH103" s="17"/>
      <c r="AI103" s="17"/>
      <c r="AJ103" s="17"/>
      <c r="AK103" s="17"/>
    </row>
    <row r="104" spans="29:37" x14ac:dyDescent="0.25">
      <c r="AC104" s="24"/>
      <c r="AD104" s="17"/>
      <c r="AF104" s="17"/>
      <c r="AG104" s="17"/>
      <c r="AH104" s="17"/>
      <c r="AI104" s="17"/>
      <c r="AJ104" s="17"/>
      <c r="AK104" s="17"/>
    </row>
    <row r="105" spans="29:37" x14ac:dyDescent="0.25">
      <c r="AC105" s="24"/>
      <c r="AD105" s="17"/>
      <c r="AF105" s="17"/>
      <c r="AG105" s="17"/>
      <c r="AH105" s="17"/>
      <c r="AI105" s="17"/>
      <c r="AJ105" s="17"/>
      <c r="AK105" s="17"/>
    </row>
    <row r="106" spans="29:37" x14ac:dyDescent="0.25">
      <c r="AC106" s="29"/>
      <c r="AD106" s="2"/>
      <c r="AE106" s="2"/>
      <c r="AF106" s="2"/>
      <c r="AG106" s="2"/>
      <c r="AH106" s="2"/>
      <c r="AI106" s="2"/>
      <c r="AJ106" s="2"/>
      <c r="AK106" s="2"/>
    </row>
  </sheetData>
  <mergeCells count="58">
    <mergeCell ref="O9:T9"/>
    <mergeCell ref="O10:T10"/>
    <mergeCell ref="B3:E3"/>
    <mergeCell ref="B33:F33"/>
    <mergeCell ref="H16:M16"/>
    <mergeCell ref="H3:M3"/>
    <mergeCell ref="H15:M15"/>
    <mergeCell ref="H4:M4"/>
    <mergeCell ref="H21:M21"/>
    <mergeCell ref="H22:M22"/>
    <mergeCell ref="H27:M27"/>
    <mergeCell ref="H28:M28"/>
    <mergeCell ref="H33:M33"/>
    <mergeCell ref="H69:M69"/>
    <mergeCell ref="H70:M70"/>
    <mergeCell ref="O58:T58"/>
    <mergeCell ref="O59:T59"/>
    <mergeCell ref="O15:T15"/>
    <mergeCell ref="H52:M52"/>
    <mergeCell ref="H57:M57"/>
    <mergeCell ref="H58:M58"/>
    <mergeCell ref="O41:T41"/>
    <mergeCell ref="O46:T46"/>
    <mergeCell ref="O47:T47"/>
    <mergeCell ref="O52:T52"/>
    <mergeCell ref="O53:T53"/>
    <mergeCell ref="H39:M39"/>
    <mergeCell ref="H40:M40"/>
    <mergeCell ref="H45:M45"/>
    <mergeCell ref="V3:AA3"/>
    <mergeCell ref="V4:AA4"/>
    <mergeCell ref="V5:AA5"/>
    <mergeCell ref="H63:M63"/>
    <mergeCell ref="H64:M64"/>
    <mergeCell ref="H46:M46"/>
    <mergeCell ref="H51:M51"/>
    <mergeCell ref="O40:T40"/>
    <mergeCell ref="H34:M34"/>
    <mergeCell ref="O28:T28"/>
    <mergeCell ref="O29:T29"/>
    <mergeCell ref="O16:T16"/>
    <mergeCell ref="O21:T21"/>
    <mergeCell ref="O22:T22"/>
    <mergeCell ref="O3:T3"/>
    <mergeCell ref="O4:T4"/>
    <mergeCell ref="AC102:AK102"/>
    <mergeCell ref="AC23:AH23"/>
    <mergeCell ref="AC3:AH3"/>
    <mergeCell ref="AC4:AH4"/>
    <mergeCell ref="AC5:AH5"/>
    <mergeCell ref="AC21:AH21"/>
    <mergeCell ref="AC22:AH22"/>
    <mergeCell ref="AC37:AH37"/>
    <mergeCell ref="AC56:AH56"/>
    <mergeCell ref="AC47:AH47"/>
    <mergeCell ref="AC34:AH34"/>
    <mergeCell ref="AC35:AH35"/>
    <mergeCell ref="AC36:AH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G59"/>
  <sheetViews>
    <sheetView tabSelected="1" topLeftCell="CV11" zoomScale="106" zoomScaleNormal="106" workbookViewId="0">
      <selection activeCell="DD23" sqref="DD23"/>
    </sheetView>
  </sheetViews>
  <sheetFormatPr defaultRowHeight="15" x14ac:dyDescent="0.25"/>
  <cols>
    <col min="1" max="1" width="4.140625" style="117" customWidth="1"/>
    <col min="2" max="2" width="10.42578125" style="117" bestFit="1" customWidth="1"/>
    <col min="3" max="3" width="46.7109375" style="117" bestFit="1" customWidth="1"/>
    <col min="4" max="4" width="7.140625" style="117" bestFit="1" customWidth="1"/>
    <col min="5" max="5" width="7.5703125" style="117" bestFit="1" customWidth="1"/>
    <col min="6" max="6" width="8.28515625" style="117" bestFit="1" customWidth="1"/>
    <col min="7" max="7" width="3.140625" style="117" customWidth="1"/>
    <col min="8" max="8" width="10.42578125" style="117" bestFit="1" customWidth="1"/>
    <col min="9" max="9" width="51.42578125" style="117" bestFit="1" customWidth="1"/>
    <col min="10" max="10" width="7.140625" style="117" bestFit="1" customWidth="1"/>
    <col min="11" max="11" width="7.5703125" style="117" bestFit="1" customWidth="1"/>
    <col min="12" max="12" width="8.28515625" style="117" bestFit="1" customWidth="1"/>
    <col min="13" max="13" width="3.140625" style="117" customWidth="1"/>
    <col min="14" max="14" width="12.7109375" style="117" bestFit="1" customWidth="1"/>
    <col min="15" max="15" width="39.85546875" style="117" bestFit="1" customWidth="1"/>
    <col min="16" max="16" width="7.140625" style="117" bestFit="1" customWidth="1"/>
    <col min="17" max="18" width="8.28515625" style="117" bestFit="1" customWidth="1"/>
    <col min="19" max="20" width="3.140625" style="117" customWidth="1"/>
    <col min="21" max="21" width="38.5703125" style="117" bestFit="1" customWidth="1"/>
    <col min="22" max="22" width="8.42578125" style="117" bestFit="1" customWidth="1"/>
    <col min="23" max="23" width="3.5703125" style="117" customWidth="1"/>
    <col min="24" max="24" width="8.42578125" style="117" bestFit="1" customWidth="1"/>
    <col min="25" max="26" width="2.42578125" style="117" customWidth="1"/>
    <col min="27" max="27" width="2" style="117" customWidth="1"/>
    <col min="28" max="28" width="19" style="117" customWidth="1"/>
    <col min="29" max="29" width="11.28515625" style="117" bestFit="1" customWidth="1"/>
    <col min="30" max="30" width="28.5703125" style="117" bestFit="1" customWidth="1"/>
    <col min="31" max="31" width="5.42578125" style="117" bestFit="1" customWidth="1"/>
    <col min="32" max="32" width="10.85546875" style="117" bestFit="1" customWidth="1"/>
    <col min="33" max="34" width="2" style="117" customWidth="1"/>
    <col min="35" max="35" width="12.28515625" style="117" bestFit="1" customWidth="1"/>
    <col min="36" max="36" width="9.140625" style="117"/>
    <col min="37" max="37" width="7.140625" style="117" bestFit="1" customWidth="1"/>
    <col min="38" max="38" width="12.5703125" style="117" bestFit="1" customWidth="1"/>
    <col min="39" max="39" width="11.5703125" style="117" bestFit="1" customWidth="1"/>
    <col min="40" max="40" width="12.5703125" style="117" bestFit="1" customWidth="1"/>
    <col min="41" max="41" width="2.5703125" style="117" customWidth="1"/>
    <col min="42" max="42" width="11.85546875" style="117" bestFit="1" customWidth="1"/>
    <col min="43" max="44" width="9.140625" style="117"/>
    <col min="45" max="45" width="11.5703125" style="117" bestFit="1" customWidth="1"/>
    <col min="46" max="46" width="9.85546875" style="117" bestFit="1" customWidth="1"/>
    <col min="47" max="47" width="12.28515625" style="117" bestFit="1" customWidth="1"/>
    <col min="48" max="48" width="3.28515625" style="117" customWidth="1"/>
    <col min="49" max="49" width="11.85546875" style="117" bestFit="1" customWidth="1"/>
    <col min="50" max="51" width="9.140625" style="117"/>
    <col min="52" max="52" width="10" style="117" bestFit="1" customWidth="1"/>
    <col min="53" max="53" width="9.85546875" style="117" bestFit="1" customWidth="1"/>
    <col min="54" max="54" width="12.28515625" style="117" bestFit="1" customWidth="1"/>
    <col min="55" max="55" width="2.140625" style="117" customWidth="1"/>
    <col min="56" max="56" width="11.85546875" style="117" bestFit="1" customWidth="1"/>
    <col min="57" max="58" width="9.140625" style="117"/>
    <col min="59" max="59" width="11.5703125" style="117" bestFit="1" customWidth="1"/>
    <col min="60" max="60" width="9.85546875" style="117" bestFit="1" customWidth="1"/>
    <col min="61" max="61" width="11.5703125" style="117" bestFit="1" customWidth="1"/>
    <col min="62" max="62" width="4.85546875" style="117" customWidth="1"/>
    <col min="63" max="63" width="11.85546875" style="117" bestFit="1" customWidth="1"/>
    <col min="64" max="65" width="9.140625" style="117"/>
    <col min="66" max="66" width="9.85546875" style="117" bestFit="1" customWidth="1"/>
    <col min="67" max="67" width="11.5703125" style="117" bestFit="1" customWidth="1"/>
    <col min="68" max="68" width="12.28515625" style="117" bestFit="1" customWidth="1"/>
    <col min="69" max="69" width="3.85546875" style="117" customWidth="1"/>
    <col min="70" max="70" width="11.85546875" style="117" bestFit="1" customWidth="1"/>
    <col min="71" max="72" width="9.140625" style="117"/>
    <col min="73" max="73" width="9.85546875" style="117" bestFit="1" customWidth="1"/>
    <col min="74" max="74" width="11.5703125" style="117" bestFit="1" customWidth="1"/>
    <col min="75" max="75" width="12.28515625" style="117" bestFit="1" customWidth="1"/>
    <col min="76" max="76" width="2.85546875" style="117" customWidth="1"/>
    <col min="77" max="77" width="11.42578125" style="117" bestFit="1" customWidth="1"/>
    <col min="78" max="78" width="14.7109375" style="117" bestFit="1" customWidth="1"/>
    <col min="79" max="79" width="5.85546875" style="117" customWidth="1"/>
    <col min="80" max="80" width="9.7109375" style="117" bestFit="1" customWidth="1"/>
    <col min="81" max="81" width="11.5703125" style="117" bestFit="1" customWidth="1"/>
    <col min="82" max="82" width="12.28515625" style="117" bestFit="1" customWidth="1"/>
    <col min="83" max="83" width="3.7109375" style="117" customWidth="1"/>
    <col min="84" max="84" width="11.85546875" style="117" bestFit="1" customWidth="1"/>
    <col min="85" max="86" width="9.140625" style="117"/>
    <col min="87" max="87" width="9.85546875" style="117" bestFit="1" customWidth="1"/>
    <col min="88" max="89" width="12.5703125" style="117" bestFit="1" customWidth="1"/>
    <col min="90" max="90" width="4.5703125" style="117" customWidth="1"/>
    <col min="91" max="93" width="9.140625" style="117"/>
    <col min="94" max="94" width="11.5703125" style="117" bestFit="1" customWidth="1"/>
    <col min="95" max="95" width="11" style="117" bestFit="1" customWidth="1"/>
    <col min="96" max="96" width="12.28515625" style="117" bestFit="1" customWidth="1"/>
    <col min="97" max="97" width="2.42578125" style="117" customWidth="1"/>
    <col min="98" max="98" width="9.140625" style="117"/>
    <col min="99" max="99" width="14.85546875" style="117" bestFit="1" customWidth="1"/>
    <col min="100" max="100" width="9.140625" style="117"/>
    <col min="101" max="101" width="9.85546875" style="117" bestFit="1" customWidth="1"/>
    <col min="102" max="103" width="12.5703125" style="117" bestFit="1" customWidth="1"/>
    <col min="104" max="104" width="2.42578125" style="117" customWidth="1"/>
    <col min="105" max="105" width="11.85546875" style="117" bestFit="1" customWidth="1"/>
    <col min="106" max="107" width="9.140625" style="117"/>
    <col min="108" max="108" width="11.5703125" style="117" customWidth="1"/>
    <col min="109" max="109" width="9.85546875" style="117" customWidth="1"/>
    <col min="110" max="110" width="10.140625" style="117" bestFit="1" customWidth="1"/>
    <col min="111" max="111" width="2.5703125" style="117" customWidth="1"/>
    <col min="112" max="16384" width="9.140625" style="117"/>
  </cols>
  <sheetData>
    <row r="2" spans="2:111" ht="29.25" thickBot="1" x14ac:dyDescent="0.5">
      <c r="AI2" s="220" t="s">
        <v>39</v>
      </c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118" t="s">
        <v>5</v>
      </c>
      <c r="BK2" s="220" t="s">
        <v>175</v>
      </c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119" t="s">
        <v>1</v>
      </c>
      <c r="CF2" s="220" t="s">
        <v>177</v>
      </c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</row>
    <row r="4" spans="2:111" ht="26.25" x14ac:dyDescent="0.4">
      <c r="B4" s="222" t="s">
        <v>55</v>
      </c>
      <c r="C4" s="223"/>
      <c r="D4" s="223"/>
      <c r="E4" s="223"/>
      <c r="F4" s="120" t="s">
        <v>89</v>
      </c>
      <c r="H4" s="209" t="s">
        <v>55</v>
      </c>
      <c r="I4" s="210"/>
      <c r="J4" s="210"/>
      <c r="K4" s="210"/>
      <c r="L4" s="61" t="s">
        <v>110</v>
      </c>
      <c r="N4" s="209" t="s">
        <v>55</v>
      </c>
      <c r="O4" s="210"/>
      <c r="P4" s="210"/>
      <c r="Q4" s="210"/>
      <c r="R4" s="61" t="s">
        <v>208</v>
      </c>
      <c r="T4" s="217" t="s">
        <v>81</v>
      </c>
      <c r="U4" s="218"/>
      <c r="V4" s="218"/>
      <c r="W4" s="218"/>
      <c r="X4" s="218"/>
      <c r="Y4" s="218"/>
      <c r="Z4" s="186"/>
      <c r="AB4" s="214" t="s">
        <v>22</v>
      </c>
      <c r="AC4" s="215"/>
      <c r="AD4" s="215"/>
      <c r="AE4" s="215"/>
      <c r="AF4" s="215"/>
      <c r="AG4" s="216"/>
      <c r="AI4" s="227" t="s">
        <v>0</v>
      </c>
      <c r="AJ4" s="228"/>
      <c r="AK4" s="228"/>
      <c r="AL4" s="228"/>
      <c r="AM4" s="228"/>
      <c r="AN4" s="229"/>
      <c r="AP4" s="227" t="s">
        <v>3</v>
      </c>
      <c r="AQ4" s="228"/>
      <c r="AR4" s="228"/>
      <c r="AS4" s="228"/>
      <c r="AT4" s="228"/>
      <c r="AU4" s="229"/>
      <c r="AW4" s="227" t="s">
        <v>70</v>
      </c>
      <c r="AX4" s="228"/>
      <c r="AY4" s="228"/>
      <c r="AZ4" s="228"/>
      <c r="BA4" s="228"/>
      <c r="BB4" s="229"/>
      <c r="BD4" s="227" t="s">
        <v>61</v>
      </c>
      <c r="BE4" s="228"/>
      <c r="BF4" s="228"/>
      <c r="BG4" s="228"/>
      <c r="BH4" s="228"/>
      <c r="BI4" s="229"/>
      <c r="BK4" s="230" t="s">
        <v>92</v>
      </c>
      <c r="BL4" s="231"/>
      <c r="BM4" s="231"/>
      <c r="BN4" s="231"/>
      <c r="BO4" s="231"/>
      <c r="BP4" s="231"/>
      <c r="BQ4" s="122" t="s">
        <v>1</v>
      </c>
      <c r="BR4" s="227" t="s">
        <v>7</v>
      </c>
      <c r="BS4" s="228"/>
      <c r="BT4" s="228"/>
      <c r="BU4" s="228"/>
      <c r="BV4" s="228"/>
      <c r="BW4" s="229"/>
      <c r="BY4" s="227" t="s">
        <v>85</v>
      </c>
      <c r="BZ4" s="228"/>
      <c r="CA4" s="228"/>
      <c r="CB4" s="228"/>
      <c r="CC4" s="228"/>
      <c r="CD4" s="229"/>
      <c r="CE4" s="122" t="s">
        <v>1</v>
      </c>
      <c r="CF4" s="227" t="s">
        <v>74</v>
      </c>
      <c r="CG4" s="228"/>
      <c r="CH4" s="228"/>
      <c r="CI4" s="228"/>
      <c r="CJ4" s="228"/>
      <c r="CK4" s="229"/>
      <c r="CL4" s="122" t="s">
        <v>12</v>
      </c>
      <c r="CM4" s="227" t="s">
        <v>100</v>
      </c>
      <c r="CN4" s="228"/>
      <c r="CO4" s="228"/>
      <c r="CP4" s="228"/>
      <c r="CQ4" s="228"/>
      <c r="CR4" s="229"/>
      <c r="CS4" s="122" t="s">
        <v>1</v>
      </c>
      <c r="CT4" s="227" t="s">
        <v>102</v>
      </c>
      <c r="CU4" s="228"/>
      <c r="CV4" s="228"/>
      <c r="CW4" s="228"/>
      <c r="CX4" s="228"/>
      <c r="CY4" s="229"/>
      <c r="CZ4" s="122" t="s">
        <v>12</v>
      </c>
      <c r="DA4" s="227" t="s">
        <v>77</v>
      </c>
      <c r="DB4" s="228"/>
      <c r="DC4" s="228"/>
      <c r="DD4" s="228"/>
      <c r="DE4" s="228"/>
      <c r="DF4" s="229"/>
    </row>
    <row r="5" spans="2:111" ht="21" x14ac:dyDescent="0.35">
      <c r="B5" s="123" t="s">
        <v>56</v>
      </c>
      <c r="C5" s="123" t="s">
        <v>57</v>
      </c>
      <c r="D5" s="123" t="s">
        <v>65</v>
      </c>
      <c r="E5" s="123" t="s">
        <v>58</v>
      </c>
      <c r="F5" s="123" t="s">
        <v>59</v>
      </c>
      <c r="H5" s="47" t="s">
        <v>56</v>
      </c>
      <c r="I5" s="47" t="s">
        <v>57</v>
      </c>
      <c r="J5" s="47" t="s">
        <v>65</v>
      </c>
      <c r="K5" s="47" t="s">
        <v>58</v>
      </c>
      <c r="L5" s="47" t="s">
        <v>59</v>
      </c>
      <c r="N5" s="47" t="s">
        <v>56</v>
      </c>
      <c r="O5" s="47" t="s">
        <v>57</v>
      </c>
      <c r="P5" s="47" t="s">
        <v>65</v>
      </c>
      <c r="Q5" s="47" t="s">
        <v>58</v>
      </c>
      <c r="R5" s="47" t="s">
        <v>59</v>
      </c>
      <c r="T5" s="217" t="s">
        <v>82</v>
      </c>
      <c r="U5" s="218"/>
      <c r="V5" s="218"/>
      <c r="W5" s="218"/>
      <c r="X5" s="218"/>
      <c r="Y5" s="218"/>
      <c r="Z5" s="186"/>
      <c r="AB5" s="217" t="s">
        <v>23</v>
      </c>
      <c r="AC5" s="218"/>
      <c r="AD5" s="218"/>
      <c r="AE5" s="218"/>
      <c r="AF5" s="218"/>
      <c r="AG5" s="219"/>
      <c r="AI5" s="224" t="s">
        <v>93</v>
      </c>
      <c r="AJ5" s="225"/>
      <c r="AK5" s="225"/>
      <c r="AL5" s="225"/>
      <c r="AM5" s="225"/>
      <c r="AN5" s="226"/>
      <c r="AP5" s="224" t="s">
        <v>141</v>
      </c>
      <c r="AQ5" s="225"/>
      <c r="AR5" s="225"/>
      <c r="AS5" s="225"/>
      <c r="AT5" s="225"/>
      <c r="AU5" s="226"/>
      <c r="AW5" s="224" t="s">
        <v>94</v>
      </c>
      <c r="AX5" s="225"/>
      <c r="AY5" s="225"/>
      <c r="AZ5" s="225"/>
      <c r="BA5" s="225"/>
      <c r="BB5" s="226"/>
      <c r="BD5" s="224" t="s">
        <v>95</v>
      </c>
      <c r="BE5" s="225"/>
      <c r="BF5" s="225"/>
      <c r="BG5" s="225"/>
      <c r="BH5" s="225"/>
      <c r="BI5" s="226"/>
      <c r="BK5" s="224" t="s">
        <v>96</v>
      </c>
      <c r="BL5" s="225"/>
      <c r="BM5" s="225"/>
      <c r="BN5" s="225"/>
      <c r="BO5" s="225"/>
      <c r="BP5" s="225"/>
      <c r="BR5" s="224" t="s">
        <v>97</v>
      </c>
      <c r="BS5" s="225"/>
      <c r="BT5" s="225"/>
      <c r="BU5" s="225"/>
      <c r="BV5" s="225"/>
      <c r="BW5" s="226"/>
      <c r="BY5" s="224" t="s">
        <v>98</v>
      </c>
      <c r="BZ5" s="225"/>
      <c r="CA5" s="225"/>
      <c r="CB5" s="225"/>
      <c r="CC5" s="225"/>
      <c r="CD5" s="226"/>
      <c r="CF5" s="224" t="s">
        <v>99</v>
      </c>
      <c r="CG5" s="225"/>
      <c r="CH5" s="225"/>
      <c r="CI5" s="225"/>
      <c r="CJ5" s="225"/>
      <c r="CK5" s="226"/>
      <c r="CM5" s="224" t="s">
        <v>101</v>
      </c>
      <c r="CN5" s="225"/>
      <c r="CO5" s="225"/>
      <c r="CP5" s="225"/>
      <c r="CQ5" s="225"/>
      <c r="CR5" s="226"/>
      <c r="CT5" s="224" t="s">
        <v>103</v>
      </c>
      <c r="CU5" s="225"/>
      <c r="CV5" s="225"/>
      <c r="CW5" s="225"/>
      <c r="CX5" s="225"/>
      <c r="CY5" s="226"/>
      <c r="DA5" s="224" t="s">
        <v>105</v>
      </c>
      <c r="DB5" s="225"/>
      <c r="DC5" s="225"/>
      <c r="DD5" s="225"/>
      <c r="DE5" s="225"/>
      <c r="DF5" s="226"/>
    </row>
    <row r="6" spans="2:111" ht="19.5" thickBot="1" x14ac:dyDescent="0.35">
      <c r="B6" s="124" t="s">
        <v>63</v>
      </c>
      <c r="C6" s="124" t="s">
        <v>0</v>
      </c>
      <c r="D6" s="124">
        <v>101</v>
      </c>
      <c r="E6" s="124">
        <v>10000</v>
      </c>
      <c r="F6" s="124"/>
      <c r="H6" s="49"/>
      <c r="I6" s="62" t="s">
        <v>111</v>
      </c>
      <c r="J6" s="49"/>
      <c r="K6" s="49"/>
      <c r="L6" s="49"/>
      <c r="N6" s="49"/>
      <c r="O6" s="172" t="s">
        <v>207</v>
      </c>
      <c r="P6" s="49"/>
      <c r="Q6" s="49"/>
      <c r="R6" s="49"/>
      <c r="T6" s="217" t="s">
        <v>83</v>
      </c>
      <c r="U6" s="218"/>
      <c r="V6" s="218"/>
      <c r="W6" s="218"/>
      <c r="X6" s="218"/>
      <c r="Y6" s="218"/>
      <c r="Z6" s="186"/>
      <c r="AB6" s="217" t="s">
        <v>31</v>
      </c>
      <c r="AC6" s="218"/>
      <c r="AD6" s="218"/>
      <c r="AE6" s="218"/>
      <c r="AF6" s="218"/>
      <c r="AG6" s="219"/>
      <c r="AI6" s="125" t="s">
        <v>56</v>
      </c>
      <c r="AJ6" s="126" t="s">
        <v>87</v>
      </c>
      <c r="AK6" s="125" t="s">
        <v>65</v>
      </c>
      <c r="AL6" s="125" t="s">
        <v>106</v>
      </c>
      <c r="AM6" s="125" t="s">
        <v>107</v>
      </c>
      <c r="AN6" s="125" t="s">
        <v>88</v>
      </c>
      <c r="AP6" s="125" t="s">
        <v>56</v>
      </c>
      <c r="AQ6" s="126" t="s">
        <v>87</v>
      </c>
      <c r="AR6" s="125" t="s">
        <v>65</v>
      </c>
      <c r="AS6" s="125" t="s">
        <v>106</v>
      </c>
      <c r="AT6" s="125" t="s">
        <v>107</v>
      </c>
      <c r="AU6" s="125" t="s">
        <v>88</v>
      </c>
      <c r="AW6" s="125" t="s">
        <v>56</v>
      </c>
      <c r="AX6" s="126" t="s">
        <v>87</v>
      </c>
      <c r="AY6" s="125" t="s">
        <v>65</v>
      </c>
      <c r="AZ6" s="125" t="s">
        <v>106</v>
      </c>
      <c r="BA6" s="125" t="s">
        <v>107</v>
      </c>
      <c r="BB6" s="125" t="s">
        <v>88</v>
      </c>
      <c r="BD6" s="125" t="s">
        <v>56</v>
      </c>
      <c r="BE6" s="126" t="s">
        <v>87</v>
      </c>
      <c r="BF6" s="125" t="s">
        <v>65</v>
      </c>
      <c r="BG6" s="125" t="s">
        <v>106</v>
      </c>
      <c r="BH6" s="125" t="s">
        <v>107</v>
      </c>
      <c r="BI6" s="125" t="s">
        <v>88</v>
      </c>
      <c r="BK6" s="125" t="s">
        <v>56</v>
      </c>
      <c r="BL6" s="126" t="s">
        <v>87</v>
      </c>
      <c r="BM6" s="125" t="s">
        <v>65</v>
      </c>
      <c r="BN6" s="125" t="s">
        <v>108</v>
      </c>
      <c r="BO6" s="125" t="s">
        <v>109</v>
      </c>
      <c r="BP6" s="125" t="s">
        <v>88</v>
      </c>
      <c r="BR6" s="125" t="s">
        <v>56</v>
      </c>
      <c r="BS6" s="126" t="s">
        <v>87</v>
      </c>
      <c r="BT6" s="125" t="s">
        <v>65</v>
      </c>
      <c r="BU6" s="125" t="s">
        <v>108</v>
      </c>
      <c r="BV6" s="125" t="s">
        <v>109</v>
      </c>
      <c r="BW6" s="125" t="s">
        <v>88</v>
      </c>
      <c r="BY6" s="125" t="s">
        <v>56</v>
      </c>
      <c r="BZ6" s="126" t="s">
        <v>87</v>
      </c>
      <c r="CA6" s="125" t="s">
        <v>65</v>
      </c>
      <c r="CB6" s="125" t="s">
        <v>108</v>
      </c>
      <c r="CC6" s="125" t="s">
        <v>109</v>
      </c>
      <c r="CD6" s="125" t="s">
        <v>88</v>
      </c>
      <c r="CF6" s="125" t="s">
        <v>56</v>
      </c>
      <c r="CG6" s="126" t="s">
        <v>87</v>
      </c>
      <c r="CH6" s="125" t="s">
        <v>65</v>
      </c>
      <c r="CI6" s="125" t="s">
        <v>108</v>
      </c>
      <c r="CJ6" s="125" t="s">
        <v>109</v>
      </c>
      <c r="CK6" s="125" t="s">
        <v>88</v>
      </c>
      <c r="CM6" s="125" t="s">
        <v>56</v>
      </c>
      <c r="CN6" s="126" t="s">
        <v>87</v>
      </c>
      <c r="CO6" s="125" t="s">
        <v>65</v>
      </c>
      <c r="CP6" s="125" t="s">
        <v>106</v>
      </c>
      <c r="CQ6" s="125" t="s">
        <v>107</v>
      </c>
      <c r="CR6" s="125" t="s">
        <v>88</v>
      </c>
      <c r="CT6" s="125" t="s">
        <v>56</v>
      </c>
      <c r="CU6" s="126" t="s">
        <v>87</v>
      </c>
      <c r="CV6" s="125" t="s">
        <v>65</v>
      </c>
      <c r="CW6" s="125" t="s">
        <v>108</v>
      </c>
      <c r="CX6" s="125" t="s">
        <v>109</v>
      </c>
      <c r="CY6" s="125" t="s">
        <v>88</v>
      </c>
      <c r="DA6" s="125" t="s">
        <v>56</v>
      </c>
      <c r="DB6" s="126" t="s">
        <v>87</v>
      </c>
      <c r="DC6" s="125" t="s">
        <v>65</v>
      </c>
      <c r="DD6" s="125" t="s">
        <v>106</v>
      </c>
      <c r="DE6" s="125" t="s">
        <v>138</v>
      </c>
      <c r="DF6" s="125" t="s">
        <v>88</v>
      </c>
    </row>
    <row r="7" spans="2:111" x14ac:dyDescent="0.25">
      <c r="B7" s="124"/>
      <c r="C7" s="124" t="s">
        <v>60</v>
      </c>
      <c r="D7" s="124">
        <v>301</v>
      </c>
      <c r="E7" s="124"/>
      <c r="F7" s="124">
        <v>10000</v>
      </c>
      <c r="H7" s="48" t="s">
        <v>112</v>
      </c>
      <c r="I7" s="49" t="s">
        <v>113</v>
      </c>
      <c r="J7" s="49">
        <v>631</v>
      </c>
      <c r="K7" s="50">
        <v>1500</v>
      </c>
      <c r="L7" s="50"/>
      <c r="N7" s="48" t="s">
        <v>156</v>
      </c>
      <c r="O7" s="44" t="s">
        <v>157</v>
      </c>
      <c r="P7" s="49">
        <v>400</v>
      </c>
      <c r="Q7" s="50">
        <v>10600</v>
      </c>
      <c r="R7" s="50"/>
      <c r="T7" s="162"/>
      <c r="U7" s="162"/>
      <c r="V7" s="162"/>
      <c r="W7" s="162"/>
      <c r="X7" s="162"/>
      <c r="Y7" s="162"/>
      <c r="Z7" s="162"/>
      <c r="AB7" s="128"/>
      <c r="AC7" s="129"/>
      <c r="AD7" s="129"/>
      <c r="AE7" s="129"/>
      <c r="AF7" s="129"/>
      <c r="AG7" s="130"/>
      <c r="AI7" s="124" t="s">
        <v>63</v>
      </c>
      <c r="AJ7" s="124"/>
      <c r="AK7" s="124" t="str">
        <f>F4</f>
        <v>J1</v>
      </c>
      <c r="AL7" s="124">
        <f>E6</f>
        <v>10000</v>
      </c>
      <c r="AM7" s="124"/>
      <c r="AN7" s="124">
        <f>AL7</f>
        <v>10000</v>
      </c>
      <c r="AP7" s="131" t="s">
        <v>90</v>
      </c>
      <c r="AQ7" s="131"/>
      <c r="AR7" s="131" t="s">
        <v>89</v>
      </c>
      <c r="AS7" s="131">
        <f>E26</f>
        <v>2500</v>
      </c>
      <c r="AT7" s="131"/>
      <c r="AU7" s="131">
        <f>AS7</f>
        <v>2500</v>
      </c>
      <c r="AW7" s="131" t="s">
        <v>91</v>
      </c>
      <c r="AX7" s="131"/>
      <c r="AY7" s="131" t="s">
        <v>89</v>
      </c>
      <c r="AZ7" s="131">
        <f>E22</f>
        <v>600</v>
      </c>
      <c r="BA7" s="131"/>
      <c r="BB7" s="131">
        <f>AZ7</f>
        <v>600</v>
      </c>
      <c r="BD7" s="131" t="s">
        <v>91</v>
      </c>
      <c r="BE7" s="131"/>
      <c r="BF7" s="131" t="s">
        <v>89</v>
      </c>
      <c r="BG7" s="131">
        <f>E10</f>
        <v>5000</v>
      </c>
      <c r="BH7" s="131"/>
      <c r="BI7" s="131">
        <f>BG7</f>
        <v>5000</v>
      </c>
      <c r="BK7" s="131" t="s">
        <v>63</v>
      </c>
      <c r="BL7" s="131"/>
      <c r="BM7" s="131" t="s">
        <v>89</v>
      </c>
      <c r="BN7" s="131"/>
      <c r="BO7" s="131">
        <f>F11</f>
        <v>5000</v>
      </c>
      <c r="BP7" s="131">
        <f>BO7</f>
        <v>5000</v>
      </c>
      <c r="BR7" s="131" t="s">
        <v>91</v>
      </c>
      <c r="BS7" s="131"/>
      <c r="BT7" s="131" t="s">
        <v>89</v>
      </c>
      <c r="BU7" s="131"/>
      <c r="BV7" s="131">
        <f>F27</f>
        <v>2500</v>
      </c>
      <c r="BW7" s="131">
        <f>BV7</f>
        <v>2500</v>
      </c>
      <c r="BY7" s="131" t="s">
        <v>91</v>
      </c>
      <c r="BZ7" s="131"/>
      <c r="CA7" s="131" t="s">
        <v>89</v>
      </c>
      <c r="CB7" s="131"/>
      <c r="CC7" s="131">
        <f>F15</f>
        <v>1200</v>
      </c>
      <c r="CD7" s="131">
        <f>CC7</f>
        <v>1200</v>
      </c>
      <c r="CF7" s="131" t="s">
        <v>91</v>
      </c>
      <c r="CG7" s="131"/>
      <c r="CH7" s="131" t="s">
        <v>89</v>
      </c>
      <c r="CI7" s="131"/>
      <c r="CJ7" s="131">
        <f>F7</f>
        <v>10000</v>
      </c>
      <c r="CK7" s="131">
        <f>CJ7</f>
        <v>10000</v>
      </c>
      <c r="CM7" s="131" t="s">
        <v>91</v>
      </c>
      <c r="CN7" s="131"/>
      <c r="CO7" s="131" t="s">
        <v>89</v>
      </c>
      <c r="CP7" s="131">
        <f>E30</f>
        <v>500</v>
      </c>
      <c r="CQ7" s="131"/>
      <c r="CR7" s="131">
        <f>CP7</f>
        <v>500</v>
      </c>
      <c r="CT7" s="131" t="s">
        <v>91</v>
      </c>
      <c r="CU7" s="131"/>
      <c r="CV7" s="131" t="s">
        <v>89</v>
      </c>
      <c r="CW7" s="131"/>
      <c r="CX7" s="131">
        <f>F39</f>
        <v>10000</v>
      </c>
      <c r="CY7" s="131">
        <f>CX7</f>
        <v>10000</v>
      </c>
      <c r="DA7" s="131" t="s">
        <v>91</v>
      </c>
      <c r="DB7" s="131"/>
      <c r="DC7" s="131" t="s">
        <v>89</v>
      </c>
      <c r="DD7" s="131">
        <f>E34</f>
        <v>4000</v>
      </c>
      <c r="DE7" s="131"/>
      <c r="DF7" s="131">
        <f>DD7</f>
        <v>4000</v>
      </c>
    </row>
    <row r="8" spans="2:111" x14ac:dyDescent="0.25">
      <c r="B8" s="124"/>
      <c r="C8" s="124" t="s">
        <v>66</v>
      </c>
      <c r="D8" s="124"/>
      <c r="E8" s="124"/>
      <c r="F8" s="124"/>
      <c r="H8" s="49"/>
      <c r="I8" s="49" t="s">
        <v>114</v>
      </c>
      <c r="J8" s="49">
        <v>126</v>
      </c>
      <c r="K8" s="50"/>
      <c r="L8" s="50">
        <v>1500</v>
      </c>
      <c r="N8" s="49"/>
      <c r="O8" s="49" t="s">
        <v>158</v>
      </c>
      <c r="P8" s="49">
        <v>350</v>
      </c>
      <c r="Q8" s="50"/>
      <c r="R8" s="50">
        <v>10600</v>
      </c>
      <c r="T8" s="162"/>
      <c r="U8" s="162"/>
      <c r="V8" s="163" t="s">
        <v>58</v>
      </c>
      <c r="W8" s="164"/>
      <c r="X8" s="163" t="s">
        <v>59</v>
      </c>
      <c r="Y8" s="162"/>
      <c r="Z8" s="162"/>
      <c r="AB8" s="128"/>
      <c r="AC8" s="134" t="s">
        <v>24</v>
      </c>
      <c r="AD8" s="129"/>
      <c r="AE8" s="129"/>
      <c r="AF8" s="129"/>
      <c r="AG8" s="130"/>
      <c r="AI8" s="124">
        <v>2</v>
      </c>
      <c r="AJ8" s="124"/>
      <c r="AK8" s="124" t="str">
        <f>F4</f>
        <v>J1</v>
      </c>
      <c r="AL8" s="124">
        <f>E14</f>
        <v>1200</v>
      </c>
      <c r="AM8" s="124"/>
      <c r="AN8" s="124">
        <f t="shared" ref="AN8:AN13" si="0">AN7+AL8-AM8</f>
        <v>11200</v>
      </c>
      <c r="AP8" s="114" t="s">
        <v>133</v>
      </c>
      <c r="AQ8" s="114" t="s">
        <v>132</v>
      </c>
      <c r="AR8" s="114" t="s">
        <v>131</v>
      </c>
      <c r="AS8" s="115"/>
      <c r="AT8" s="115">
        <v>1500</v>
      </c>
      <c r="AU8" s="115">
        <f>AU7+AS8-AT8</f>
        <v>1000</v>
      </c>
      <c r="AW8" s="246" t="s">
        <v>133</v>
      </c>
      <c r="AX8" s="246" t="s">
        <v>132</v>
      </c>
      <c r="AY8" s="246" t="s">
        <v>131</v>
      </c>
      <c r="AZ8" s="247"/>
      <c r="BA8" s="247">
        <v>50</v>
      </c>
      <c r="BB8" s="247">
        <f>BB7+AZ8-BA8</f>
        <v>550</v>
      </c>
      <c r="BD8" s="137"/>
      <c r="BE8" s="137"/>
      <c r="BF8" s="137"/>
      <c r="BG8" s="137"/>
      <c r="BH8" s="137"/>
      <c r="BI8" s="137">
        <f>BI7+BG8-BH8</f>
        <v>5000</v>
      </c>
      <c r="BK8" s="137"/>
      <c r="BL8" s="137"/>
      <c r="BM8" s="137"/>
      <c r="BN8" s="137"/>
      <c r="BO8" s="137"/>
      <c r="BP8" s="137">
        <f>BP7+BO8-BN8</f>
        <v>5000</v>
      </c>
      <c r="BR8" s="137"/>
      <c r="BS8" s="137"/>
      <c r="BT8" s="137"/>
      <c r="BU8" s="137"/>
      <c r="BV8" s="137"/>
      <c r="BW8" s="137">
        <f>BW7+BV8-BU8</f>
        <v>2500</v>
      </c>
      <c r="BY8" s="137"/>
      <c r="BZ8" s="137"/>
      <c r="CA8" s="137"/>
      <c r="CB8" s="137"/>
      <c r="CC8" s="137"/>
      <c r="CD8" s="137">
        <f>CD7+CC8-CA8</f>
        <v>1200</v>
      </c>
      <c r="CF8" s="137"/>
      <c r="CG8" s="137"/>
      <c r="CH8" s="137"/>
      <c r="CI8" s="137"/>
      <c r="CJ8" s="137"/>
      <c r="CK8" s="137">
        <f>CK7+CJ8-CI8</f>
        <v>10000</v>
      </c>
      <c r="CM8" s="137"/>
      <c r="CN8" s="137"/>
      <c r="CO8" s="137"/>
      <c r="CP8" s="137"/>
      <c r="CQ8" s="137"/>
      <c r="CR8" s="137">
        <f>CR7+CP8-CQ8</f>
        <v>500</v>
      </c>
      <c r="CT8" s="246" t="s">
        <v>133</v>
      </c>
      <c r="CU8" s="246" t="s">
        <v>132</v>
      </c>
      <c r="CV8" s="246" t="s">
        <v>131</v>
      </c>
      <c r="CW8" s="247"/>
      <c r="CX8" s="247">
        <v>400</v>
      </c>
      <c r="CY8" s="247">
        <f>CY7+CX8-CW8</f>
        <v>10400</v>
      </c>
      <c r="DA8" s="137"/>
      <c r="DB8" s="137"/>
      <c r="DC8" s="137"/>
      <c r="DD8" s="137"/>
      <c r="DE8" s="137"/>
      <c r="DF8" s="137">
        <f>DF7+DD8-DE8</f>
        <v>4000</v>
      </c>
    </row>
    <row r="9" spans="2:111" x14ac:dyDescent="0.25">
      <c r="B9" s="124"/>
      <c r="C9" s="124"/>
      <c r="D9" s="124"/>
      <c r="E9" s="124"/>
      <c r="F9" s="124"/>
      <c r="H9" s="49"/>
      <c r="I9" s="49" t="s">
        <v>115</v>
      </c>
      <c r="J9" s="49"/>
      <c r="K9" s="50"/>
      <c r="L9" s="50"/>
      <c r="N9" s="49"/>
      <c r="O9" s="49" t="s">
        <v>115</v>
      </c>
      <c r="P9" s="49"/>
      <c r="Q9" s="50"/>
      <c r="R9" s="50"/>
      <c r="T9" s="162"/>
      <c r="U9" s="162" t="s">
        <v>0</v>
      </c>
      <c r="V9" s="162">
        <f>AN14</f>
        <v>15200</v>
      </c>
      <c r="W9" s="162"/>
      <c r="X9" s="162"/>
      <c r="Y9" s="162"/>
      <c r="Z9" s="162"/>
      <c r="AB9" s="128"/>
      <c r="AC9" s="134"/>
      <c r="AD9" s="129" t="s">
        <v>16</v>
      </c>
      <c r="AE9" s="129"/>
      <c r="AF9" s="129">
        <f>X22</f>
        <v>-10600</v>
      </c>
      <c r="AG9" s="130"/>
      <c r="AI9" s="124">
        <v>3</v>
      </c>
      <c r="AJ9" s="124"/>
      <c r="AK9" s="124" t="str">
        <f>F4</f>
        <v>J1</v>
      </c>
      <c r="AL9" s="124"/>
      <c r="AM9" s="124">
        <f>F19</f>
        <v>900</v>
      </c>
      <c r="AN9" s="124">
        <f t="shared" si="0"/>
        <v>10300</v>
      </c>
      <c r="AP9" s="138"/>
      <c r="AQ9" s="139"/>
      <c r="AR9" s="139"/>
      <c r="AS9" s="140">
        <f>SUM(AS7:AS8)</f>
        <v>2500</v>
      </c>
      <c r="AT9" s="124">
        <f>SUM(AT7:AT8)</f>
        <v>1500</v>
      </c>
      <c r="AU9" s="141">
        <f>AU8</f>
        <v>1000</v>
      </c>
      <c r="AW9" s="138"/>
      <c r="AX9" s="139"/>
      <c r="AY9" s="139"/>
      <c r="AZ9" s="140">
        <f>SUM(AZ7:AZ8)</f>
        <v>600</v>
      </c>
      <c r="BA9" s="140">
        <f>SUM(BA7:BA8)</f>
        <v>50</v>
      </c>
      <c r="BB9" s="124">
        <f>BB8</f>
        <v>550</v>
      </c>
      <c r="BD9" s="138"/>
      <c r="BE9" s="139"/>
      <c r="BF9" s="139"/>
      <c r="BG9" s="124">
        <f>SUM(BG7:BG8)</f>
        <v>5000</v>
      </c>
      <c r="BH9" s="124">
        <f>SUM(BH7:BH8)</f>
        <v>0</v>
      </c>
      <c r="BI9" s="141">
        <f>BI8</f>
        <v>5000</v>
      </c>
      <c r="BK9" s="138"/>
      <c r="BL9" s="139"/>
      <c r="BM9" s="139"/>
      <c r="BN9" s="140">
        <f>SUM(BN7:BN8)</f>
        <v>0</v>
      </c>
      <c r="BO9" s="124">
        <f>SUM(BO7:BO8)</f>
        <v>5000</v>
      </c>
      <c r="BP9" s="141">
        <f>BP8</f>
        <v>5000</v>
      </c>
      <c r="BR9" s="138"/>
      <c r="BS9" s="139"/>
      <c r="BT9" s="139"/>
      <c r="BU9" s="124">
        <f>SUM(BU7:BU8)</f>
        <v>0</v>
      </c>
      <c r="BV9" s="124">
        <f>SUM(BV7:BV8)</f>
        <v>2500</v>
      </c>
      <c r="BW9" s="141">
        <f>BW8</f>
        <v>2500</v>
      </c>
      <c r="BY9" s="138"/>
      <c r="BZ9" s="139"/>
      <c r="CA9" s="139"/>
      <c r="CB9" s="140">
        <f>SUM(CB7:CB8)</f>
        <v>0</v>
      </c>
      <c r="CC9" s="140">
        <f>SUM(CC7:CC8)</f>
        <v>1200</v>
      </c>
      <c r="CD9" s="141">
        <f>CD8</f>
        <v>1200</v>
      </c>
      <c r="CF9" s="233"/>
      <c r="CG9" s="234"/>
      <c r="CH9" s="235"/>
      <c r="CI9" s="124">
        <f>SUM(CI7:CI8)</f>
        <v>0</v>
      </c>
      <c r="CJ9" s="124">
        <f>SUM(CJ7:CJ8)</f>
        <v>10000</v>
      </c>
      <c r="CK9" s="124">
        <f>CK8</f>
        <v>10000</v>
      </c>
      <c r="CM9" s="233"/>
      <c r="CN9" s="234"/>
      <c r="CO9" s="235"/>
      <c r="CP9" s="124">
        <f>SUM(CP7:CP8)</f>
        <v>500</v>
      </c>
      <c r="CQ9" s="124">
        <f>SUM(CQ7:CQ8)</f>
        <v>0</v>
      </c>
      <c r="CR9" s="124">
        <f>CR8</f>
        <v>500</v>
      </c>
      <c r="CT9" s="246" t="s">
        <v>133</v>
      </c>
      <c r="CU9" s="246" t="s">
        <v>132</v>
      </c>
      <c r="CV9" s="246" t="s">
        <v>131</v>
      </c>
      <c r="CW9" s="247"/>
      <c r="CX9" s="247">
        <v>200</v>
      </c>
      <c r="CY9" s="247">
        <f>CY8+CX9-CW9</f>
        <v>10600</v>
      </c>
      <c r="DA9" s="233"/>
      <c r="DB9" s="234"/>
      <c r="DC9" s="235"/>
      <c r="DD9" s="124">
        <f>SUM(DD7:DD8)</f>
        <v>4000</v>
      </c>
      <c r="DE9" s="124">
        <f>SUM(DE7:DE8)</f>
        <v>0</v>
      </c>
      <c r="DF9" s="124">
        <f>DF8</f>
        <v>4000</v>
      </c>
    </row>
    <row r="10" spans="2:111" x14ac:dyDescent="0.25">
      <c r="B10" s="124">
        <v>1</v>
      </c>
      <c r="C10" s="124" t="s">
        <v>61</v>
      </c>
      <c r="D10" s="124">
        <v>157</v>
      </c>
      <c r="E10" s="124">
        <v>5000</v>
      </c>
      <c r="F10" s="124"/>
      <c r="H10" s="49"/>
      <c r="I10" s="49"/>
      <c r="J10" s="49"/>
      <c r="K10" s="50"/>
      <c r="L10" s="50"/>
      <c r="N10" s="49"/>
      <c r="O10" s="49"/>
      <c r="P10" s="49"/>
      <c r="Q10" s="50"/>
      <c r="R10" s="50"/>
      <c r="T10" s="162"/>
      <c r="U10" s="162" t="s">
        <v>2</v>
      </c>
      <c r="V10" s="162">
        <f>BB16</f>
        <v>200</v>
      </c>
      <c r="W10" s="162"/>
      <c r="X10" s="162"/>
      <c r="Y10" s="162"/>
      <c r="Z10" s="162"/>
      <c r="AB10" s="128"/>
      <c r="AC10" s="134" t="s">
        <v>13</v>
      </c>
      <c r="AD10" s="129"/>
      <c r="AE10" s="129"/>
      <c r="AF10" s="129"/>
      <c r="AG10" s="130"/>
      <c r="AI10" s="124">
        <v>4</v>
      </c>
      <c r="AJ10" s="124"/>
      <c r="AK10" s="124" t="str">
        <f>F4</f>
        <v>J1</v>
      </c>
      <c r="AL10" s="124"/>
      <c r="AM10" s="124">
        <f>F23</f>
        <v>600</v>
      </c>
      <c r="AN10" s="124">
        <f t="shared" si="0"/>
        <v>9700</v>
      </c>
      <c r="CT10" s="67" t="s">
        <v>133</v>
      </c>
      <c r="CU10" s="67" t="s">
        <v>207</v>
      </c>
      <c r="CV10" s="67" t="s">
        <v>209</v>
      </c>
      <c r="CW10" s="135">
        <f>Q7</f>
        <v>10600</v>
      </c>
      <c r="CX10" s="135"/>
      <c r="CY10" s="68">
        <f t="shared" ref="CY10" si="1">CY9+CX10-CW10</f>
        <v>0</v>
      </c>
    </row>
    <row r="11" spans="2:111" ht="21" x14ac:dyDescent="0.35">
      <c r="B11" s="124"/>
      <c r="C11" s="124" t="s">
        <v>64</v>
      </c>
      <c r="D11" s="124">
        <v>200</v>
      </c>
      <c r="E11" s="124"/>
      <c r="F11" s="124">
        <v>5000</v>
      </c>
      <c r="H11" s="49">
        <v>31</v>
      </c>
      <c r="I11" s="49" t="s">
        <v>116</v>
      </c>
      <c r="J11" s="49">
        <v>722</v>
      </c>
      <c r="K11" s="50">
        <v>50</v>
      </c>
      <c r="L11" s="50"/>
      <c r="N11" s="49">
        <v>31</v>
      </c>
      <c r="O11" s="49" t="s">
        <v>159</v>
      </c>
      <c r="P11" s="49">
        <v>350</v>
      </c>
      <c r="Q11" s="50">
        <v>7740</v>
      </c>
      <c r="R11" s="50"/>
      <c r="T11" s="162"/>
      <c r="U11" s="162" t="s">
        <v>3</v>
      </c>
      <c r="V11" s="162">
        <f>AU9</f>
        <v>1000</v>
      </c>
      <c r="W11" s="162"/>
      <c r="X11" s="162"/>
      <c r="Y11" s="162"/>
      <c r="Z11" s="162"/>
      <c r="AB11" s="128"/>
      <c r="AC11" s="134"/>
      <c r="AD11" s="189" t="s">
        <v>25</v>
      </c>
      <c r="AE11" s="143">
        <f t="shared" ref="AE11:AE16" si="2">V23</f>
        <v>0</v>
      </c>
      <c r="AF11" s="129"/>
      <c r="AG11" s="130"/>
      <c r="AI11" s="124">
        <v>20</v>
      </c>
      <c r="AJ11" s="124"/>
      <c r="AK11" s="124" t="str">
        <f>F4</f>
        <v>J1</v>
      </c>
      <c r="AL11" s="124"/>
      <c r="AM11" s="124">
        <f>F31</f>
        <v>500</v>
      </c>
      <c r="AN11" s="124">
        <f t="shared" si="0"/>
        <v>9200</v>
      </c>
      <c r="AW11" s="205" t="s">
        <v>2</v>
      </c>
      <c r="AX11" s="206"/>
      <c r="AY11" s="206"/>
      <c r="AZ11" s="206"/>
      <c r="BA11" s="206"/>
      <c r="BB11" s="206"/>
      <c r="BR11" s="205" t="s">
        <v>129</v>
      </c>
      <c r="BS11" s="206"/>
      <c r="BT11" s="206"/>
      <c r="BU11" s="206"/>
      <c r="BV11" s="206"/>
      <c r="BW11" s="206"/>
      <c r="CT11" s="233"/>
      <c r="CU11" s="234"/>
      <c r="CV11" s="235"/>
      <c r="CW11" s="124">
        <f>SUM(CW6:CW7)</f>
        <v>0</v>
      </c>
      <c r="CX11" s="124">
        <f>SUM(CX6:CX7)</f>
        <v>10000</v>
      </c>
      <c r="CY11" s="136">
        <f>CY10-CW10</f>
        <v>-10600</v>
      </c>
      <c r="DA11" s="227" t="s">
        <v>18</v>
      </c>
      <c r="DB11" s="228"/>
      <c r="DC11" s="228"/>
      <c r="DD11" s="228"/>
      <c r="DE11" s="228"/>
      <c r="DF11" s="229"/>
    </row>
    <row r="12" spans="2:111" ht="21" x14ac:dyDescent="0.35">
      <c r="B12" s="124"/>
      <c r="C12" s="124" t="s">
        <v>67</v>
      </c>
      <c r="D12" s="124"/>
      <c r="E12" s="124"/>
      <c r="F12" s="124"/>
      <c r="H12" s="49"/>
      <c r="I12" s="49" t="s">
        <v>117</v>
      </c>
      <c r="J12" s="49">
        <v>130</v>
      </c>
      <c r="K12" s="50"/>
      <c r="L12" s="50">
        <v>50</v>
      </c>
      <c r="N12" s="49"/>
      <c r="O12" s="49" t="s">
        <v>160</v>
      </c>
      <c r="P12" s="49">
        <v>631</v>
      </c>
      <c r="Q12" s="50"/>
      <c r="R12" s="50">
        <v>1500</v>
      </c>
      <c r="T12" s="162"/>
      <c r="U12" s="162" t="s">
        <v>70</v>
      </c>
      <c r="V12" s="162">
        <f>BB9</f>
        <v>550</v>
      </c>
      <c r="W12" s="162"/>
      <c r="X12" s="162"/>
      <c r="Y12" s="162"/>
      <c r="Z12" s="162"/>
      <c r="AB12" s="128"/>
      <c r="AC12" s="129"/>
      <c r="AD12" s="17" t="s">
        <v>113</v>
      </c>
      <c r="AE12" s="129">
        <f t="shared" si="2"/>
        <v>0</v>
      </c>
      <c r="AF12" s="129"/>
      <c r="AG12" s="130"/>
      <c r="AI12" s="124">
        <v>26</v>
      </c>
      <c r="AJ12" s="124"/>
      <c r="AK12" s="124" t="str">
        <f>F4</f>
        <v>J1</v>
      </c>
      <c r="AL12" s="124"/>
      <c r="AM12" s="124">
        <f>F35</f>
        <v>4000</v>
      </c>
      <c r="AN12" s="124">
        <f t="shared" si="0"/>
        <v>5200</v>
      </c>
      <c r="AW12" s="207" t="s">
        <v>140</v>
      </c>
      <c r="AX12" s="208"/>
      <c r="AY12" s="208"/>
      <c r="AZ12" s="208"/>
      <c r="BA12" s="208"/>
      <c r="BB12" s="208"/>
      <c r="BR12" s="207" t="s">
        <v>130</v>
      </c>
      <c r="BS12" s="208"/>
      <c r="BT12" s="208"/>
      <c r="BU12" s="208"/>
      <c r="BV12" s="208"/>
      <c r="BW12" s="208"/>
      <c r="DA12" s="224" t="s">
        <v>104</v>
      </c>
      <c r="DB12" s="225"/>
      <c r="DC12" s="225"/>
      <c r="DD12" s="225"/>
      <c r="DE12" s="225"/>
      <c r="DF12" s="226"/>
    </row>
    <row r="13" spans="2:111" ht="21" x14ac:dyDescent="0.35">
      <c r="B13" s="124"/>
      <c r="C13" s="124"/>
      <c r="D13" s="124"/>
      <c r="E13" s="124"/>
      <c r="F13" s="124"/>
      <c r="H13" s="49"/>
      <c r="I13" s="49" t="s">
        <v>121</v>
      </c>
      <c r="J13" s="49"/>
      <c r="K13" s="50"/>
      <c r="L13" s="50"/>
      <c r="N13" s="49"/>
      <c r="O13" s="49" t="s">
        <v>161</v>
      </c>
      <c r="P13" s="49">
        <v>711</v>
      </c>
      <c r="Q13" s="50"/>
      <c r="R13" s="50">
        <v>40</v>
      </c>
      <c r="T13" s="162"/>
      <c r="U13" s="162" t="s">
        <v>61</v>
      </c>
      <c r="V13" s="162">
        <f>BI9</f>
        <v>5000</v>
      </c>
      <c r="W13" s="162"/>
      <c r="X13" s="162"/>
      <c r="Y13" s="162"/>
      <c r="Z13" s="162"/>
      <c r="AB13" s="128"/>
      <c r="AC13" s="129"/>
      <c r="AD13" s="17" t="s">
        <v>18</v>
      </c>
      <c r="AE13" s="129">
        <f t="shared" si="2"/>
        <v>900</v>
      </c>
      <c r="AF13" s="129"/>
      <c r="AG13" s="130"/>
      <c r="AI13" s="124">
        <v>31</v>
      </c>
      <c r="AJ13" s="124"/>
      <c r="AK13" s="124" t="str">
        <f>F4</f>
        <v>J1</v>
      </c>
      <c r="AL13" s="124">
        <f>E38</f>
        <v>10000</v>
      </c>
      <c r="AM13" s="124"/>
      <c r="AN13" s="124">
        <f t="shared" si="0"/>
        <v>15200</v>
      </c>
      <c r="AW13" s="45" t="s">
        <v>56</v>
      </c>
      <c r="AX13" s="57" t="s">
        <v>87</v>
      </c>
      <c r="AY13" s="45" t="s">
        <v>65</v>
      </c>
      <c r="AZ13" s="45" t="s">
        <v>106</v>
      </c>
      <c r="BA13" s="45" t="s">
        <v>107</v>
      </c>
      <c r="BB13" s="45" t="s">
        <v>88</v>
      </c>
      <c r="BR13" s="45" t="s">
        <v>56</v>
      </c>
      <c r="BS13" s="57" t="s">
        <v>87</v>
      </c>
      <c r="BT13" s="45" t="s">
        <v>65</v>
      </c>
      <c r="BU13" s="45" t="s">
        <v>108</v>
      </c>
      <c r="BV13" s="45" t="s">
        <v>109</v>
      </c>
      <c r="BW13" s="45" t="s">
        <v>88</v>
      </c>
      <c r="CT13" s="227" t="s">
        <v>194</v>
      </c>
      <c r="CU13" s="228"/>
      <c r="CV13" s="228"/>
      <c r="CW13" s="228"/>
      <c r="CX13" s="228"/>
      <c r="CY13" s="229"/>
      <c r="DA13" s="125" t="s">
        <v>56</v>
      </c>
      <c r="DB13" s="126" t="s">
        <v>87</v>
      </c>
      <c r="DC13" s="125" t="s">
        <v>65</v>
      </c>
      <c r="DD13" s="125" t="s">
        <v>106</v>
      </c>
      <c r="DE13" s="125" t="s">
        <v>107</v>
      </c>
      <c r="DF13" s="125" t="s">
        <v>88</v>
      </c>
    </row>
    <row r="14" spans="2:111" ht="21" x14ac:dyDescent="0.35">
      <c r="B14" s="124">
        <v>2</v>
      </c>
      <c r="C14" s="124" t="s">
        <v>0</v>
      </c>
      <c r="D14" s="124">
        <v>101</v>
      </c>
      <c r="E14" s="124">
        <v>1200</v>
      </c>
      <c r="F14" s="124"/>
      <c r="H14" s="49"/>
      <c r="I14" s="49"/>
      <c r="J14" s="49"/>
      <c r="K14" s="50"/>
      <c r="L14" s="50"/>
      <c r="N14" s="49"/>
      <c r="O14" s="49" t="s">
        <v>162</v>
      </c>
      <c r="P14" s="49">
        <v>722</v>
      </c>
      <c r="Q14" s="50"/>
      <c r="R14" s="50">
        <v>50</v>
      </c>
      <c r="T14" s="162"/>
      <c r="U14" s="162" t="s">
        <v>179</v>
      </c>
      <c r="V14" s="162"/>
      <c r="W14" s="162"/>
      <c r="X14" s="162">
        <f>AU23</f>
        <v>40</v>
      </c>
      <c r="Y14" s="162"/>
      <c r="Z14" s="162"/>
      <c r="AB14" s="128"/>
      <c r="AC14" s="129"/>
      <c r="AD14" s="17" t="s">
        <v>116</v>
      </c>
      <c r="AE14" s="129">
        <f t="shared" si="2"/>
        <v>0</v>
      </c>
      <c r="AF14" s="129"/>
      <c r="AG14" s="130"/>
      <c r="AI14" s="138"/>
      <c r="AJ14" s="139"/>
      <c r="AK14" s="139"/>
      <c r="AL14" s="140">
        <f>SUM(AL7:AL13)</f>
        <v>21200</v>
      </c>
      <c r="AM14" s="124">
        <f>SUM(AM7:AM13)</f>
        <v>6000</v>
      </c>
      <c r="AN14" s="141">
        <f>AN13</f>
        <v>15200</v>
      </c>
      <c r="AW14" s="114" t="s">
        <v>133</v>
      </c>
      <c r="AX14" s="114" t="s">
        <v>132</v>
      </c>
      <c r="AY14" s="114" t="s">
        <v>131</v>
      </c>
      <c r="AZ14" s="115">
        <v>200</v>
      </c>
      <c r="BA14" s="115"/>
      <c r="BB14" s="115">
        <f>AZ14</f>
        <v>200</v>
      </c>
      <c r="BR14" s="246" t="s">
        <v>133</v>
      </c>
      <c r="BS14" s="246" t="s">
        <v>132</v>
      </c>
      <c r="BT14" s="246" t="s">
        <v>131</v>
      </c>
      <c r="BU14" s="247"/>
      <c r="BV14" s="247">
        <v>50</v>
      </c>
      <c r="BW14" s="247">
        <f>BV14</f>
        <v>50</v>
      </c>
      <c r="CT14" s="224" t="s">
        <v>195</v>
      </c>
      <c r="CU14" s="225"/>
      <c r="CV14" s="225"/>
      <c r="CW14" s="225"/>
      <c r="CX14" s="225"/>
      <c r="CY14" s="226"/>
      <c r="DA14" s="131" t="s">
        <v>91</v>
      </c>
      <c r="DB14" s="131"/>
      <c r="DC14" s="131" t="s">
        <v>89</v>
      </c>
      <c r="DD14" s="131">
        <f>E18</f>
        <v>900</v>
      </c>
      <c r="DE14" s="131"/>
      <c r="DF14" s="131">
        <f>DD14</f>
        <v>900</v>
      </c>
    </row>
    <row r="15" spans="2:111" ht="18.75" x14ac:dyDescent="0.3">
      <c r="B15" s="124"/>
      <c r="C15" s="124" t="s">
        <v>197</v>
      </c>
      <c r="D15" s="124">
        <v>209</v>
      </c>
      <c r="E15" s="124"/>
      <c r="F15" s="124">
        <v>1200</v>
      </c>
      <c r="H15" s="49">
        <v>31</v>
      </c>
      <c r="I15" s="49" t="s">
        <v>118</v>
      </c>
      <c r="J15" s="49">
        <v>711</v>
      </c>
      <c r="K15" s="50">
        <v>40</v>
      </c>
      <c r="L15" s="50"/>
      <c r="N15" s="49"/>
      <c r="O15" s="49" t="s">
        <v>163</v>
      </c>
      <c r="P15" s="49">
        <v>726</v>
      </c>
      <c r="Q15" s="50"/>
      <c r="R15" s="50">
        <v>5200</v>
      </c>
      <c r="T15" s="162"/>
      <c r="U15" s="162" t="s">
        <v>84</v>
      </c>
      <c r="V15" s="162"/>
      <c r="W15" s="162"/>
      <c r="X15" s="162">
        <f>BP9</f>
        <v>5000</v>
      </c>
      <c r="Y15" s="162"/>
      <c r="Z15" s="162"/>
      <c r="AB15" s="128"/>
      <c r="AC15" s="129"/>
      <c r="AD15" s="17" t="s">
        <v>123</v>
      </c>
      <c r="AE15" s="129">
        <f t="shared" si="2"/>
        <v>50</v>
      </c>
      <c r="AF15" s="129"/>
      <c r="AG15" s="130"/>
      <c r="AW15" s="44"/>
      <c r="AX15" s="44"/>
      <c r="AY15" s="44"/>
      <c r="AZ15" s="59"/>
      <c r="BA15" s="59"/>
      <c r="BB15" s="59">
        <f>BB14+AZ15-BA15</f>
        <v>200</v>
      </c>
      <c r="BR15" s="246"/>
      <c r="BS15" s="246"/>
      <c r="BT15" s="246"/>
      <c r="BU15" s="247"/>
      <c r="BV15" s="247"/>
      <c r="BW15" s="247">
        <f>BW14+BV15-BU15</f>
        <v>50</v>
      </c>
      <c r="CT15" s="125" t="s">
        <v>56</v>
      </c>
      <c r="CU15" s="126" t="s">
        <v>87</v>
      </c>
      <c r="CV15" s="125" t="s">
        <v>65</v>
      </c>
      <c r="CW15" s="125" t="s">
        <v>108</v>
      </c>
      <c r="CX15" s="125" t="s">
        <v>109</v>
      </c>
      <c r="CY15" s="125" t="s">
        <v>88</v>
      </c>
      <c r="DA15" s="137"/>
      <c r="DB15" s="137"/>
      <c r="DC15" s="137"/>
      <c r="DD15" s="137"/>
      <c r="DE15" s="137"/>
      <c r="DF15" s="137">
        <f>DF14+DD15-DE15</f>
        <v>900</v>
      </c>
    </row>
    <row r="16" spans="2:111" x14ac:dyDescent="0.25">
      <c r="B16" s="124"/>
      <c r="C16" s="124" t="s">
        <v>68</v>
      </c>
      <c r="D16" s="124"/>
      <c r="E16" s="124"/>
      <c r="F16" s="124"/>
      <c r="H16" s="49"/>
      <c r="I16" s="49" t="s">
        <v>119</v>
      </c>
      <c r="J16" s="49">
        <v>158</v>
      </c>
      <c r="K16" s="50"/>
      <c r="L16" s="50">
        <v>40</v>
      </c>
      <c r="N16" s="49"/>
      <c r="O16" s="49" t="s">
        <v>164</v>
      </c>
      <c r="P16" s="49">
        <v>729</v>
      </c>
      <c r="Q16" s="50"/>
      <c r="R16" s="50">
        <v>900</v>
      </c>
      <c r="T16" s="162"/>
      <c r="U16" s="162" t="s">
        <v>7</v>
      </c>
      <c r="V16" s="162"/>
      <c r="W16" s="162"/>
      <c r="X16" s="162">
        <f>BW9</f>
        <v>2500</v>
      </c>
      <c r="Y16" s="162"/>
      <c r="Z16" s="162"/>
      <c r="AB16" s="128"/>
      <c r="AC16" s="129"/>
      <c r="AD16" s="17" t="s">
        <v>118</v>
      </c>
      <c r="AE16" s="139">
        <f t="shared" si="2"/>
        <v>0</v>
      </c>
      <c r="AF16" s="129"/>
      <c r="AG16" s="130"/>
      <c r="AW16" s="138"/>
      <c r="AX16" s="139"/>
      <c r="AY16" s="139"/>
      <c r="AZ16" s="140">
        <f>SUM(AZ14:AZ15)</f>
        <v>200</v>
      </c>
      <c r="BA16" s="140">
        <f>SUM(BA14:BA15)</f>
        <v>0</v>
      </c>
      <c r="BB16" s="124">
        <f>BB15</f>
        <v>200</v>
      </c>
      <c r="BR16" s="138"/>
      <c r="BS16" s="139"/>
      <c r="BT16" s="139"/>
      <c r="BU16" s="124">
        <f>SUM(BU14:BU15)</f>
        <v>0</v>
      </c>
      <c r="BV16" s="124">
        <f>SUM(BV14:BV15)</f>
        <v>50</v>
      </c>
      <c r="BW16" s="141">
        <f>BW15</f>
        <v>50</v>
      </c>
      <c r="CT16" s="67" t="s">
        <v>133</v>
      </c>
      <c r="CU16" s="67" t="s">
        <v>207</v>
      </c>
      <c r="CV16" s="67" t="s">
        <v>209</v>
      </c>
      <c r="CW16" s="135">
        <f>Q13</f>
        <v>0</v>
      </c>
      <c r="CX16" s="135"/>
      <c r="CY16" s="68" t="e">
        <f t="shared" ref="CY16" si="3">CY15+CX16-CW16</f>
        <v>#VALUE!</v>
      </c>
      <c r="DA16" s="233"/>
      <c r="DB16" s="234"/>
      <c r="DC16" s="235"/>
      <c r="DD16" s="124">
        <f>SUM(DD14:DD15)</f>
        <v>900</v>
      </c>
      <c r="DE16" s="124">
        <f>SUM(DE14:DE15)</f>
        <v>0</v>
      </c>
      <c r="DF16" s="124">
        <f>DF15</f>
        <v>900</v>
      </c>
    </row>
    <row r="17" spans="2:110" x14ac:dyDescent="0.25">
      <c r="B17" s="124"/>
      <c r="C17" s="124"/>
      <c r="D17" s="124"/>
      <c r="E17" s="124"/>
      <c r="F17" s="124"/>
      <c r="H17" s="49"/>
      <c r="I17" s="49" t="s">
        <v>120</v>
      </c>
      <c r="J17" s="49"/>
      <c r="K17" s="50"/>
      <c r="L17" s="50"/>
      <c r="N17" s="49"/>
      <c r="O17" s="49" t="s">
        <v>165</v>
      </c>
      <c r="P17" s="49">
        <v>905</v>
      </c>
      <c r="Q17" s="50"/>
      <c r="R17" s="50">
        <v>50</v>
      </c>
      <c r="T17" s="162"/>
      <c r="U17" s="162" t="s">
        <v>148</v>
      </c>
      <c r="V17" s="162"/>
      <c r="W17" s="162"/>
      <c r="X17" s="162">
        <f>BW16</f>
        <v>50</v>
      </c>
      <c r="Y17" s="162"/>
      <c r="Z17" s="162"/>
      <c r="AB17" s="128"/>
      <c r="AC17" s="129"/>
      <c r="AD17" s="221" t="s">
        <v>198</v>
      </c>
      <c r="AE17" s="221"/>
      <c r="AF17" s="139">
        <f>SUM(AE11:AE16)</f>
        <v>950</v>
      </c>
      <c r="AG17" s="130"/>
      <c r="CT17" s="67" t="s">
        <v>133</v>
      </c>
      <c r="CU17" s="67" t="s">
        <v>207</v>
      </c>
      <c r="CV17" s="67" t="s">
        <v>209</v>
      </c>
      <c r="CW17" s="68"/>
      <c r="CX17" s="68">
        <f>Q11</f>
        <v>7740</v>
      </c>
      <c r="CY17" s="68" t="e">
        <f>CY16+CX17-CW17</f>
        <v>#VALUE!</v>
      </c>
    </row>
    <row r="18" spans="2:110" ht="21.75" thickBot="1" x14ac:dyDescent="0.4">
      <c r="B18" s="124">
        <v>3</v>
      </c>
      <c r="C18" s="124" t="s">
        <v>18</v>
      </c>
      <c r="D18" s="124">
        <v>729</v>
      </c>
      <c r="E18" s="124">
        <v>900</v>
      </c>
      <c r="F18" s="124"/>
      <c r="H18" s="49"/>
      <c r="I18" s="49"/>
      <c r="J18" s="49"/>
      <c r="K18" s="50"/>
      <c r="L18" s="50"/>
      <c r="N18" s="49"/>
      <c r="O18" s="49" t="s">
        <v>166</v>
      </c>
      <c r="P18" s="49"/>
      <c r="Q18" s="50"/>
      <c r="R18" s="50"/>
      <c r="T18" s="162"/>
      <c r="U18" s="162" t="s">
        <v>85</v>
      </c>
      <c r="V18" s="162"/>
      <c r="W18" s="162"/>
      <c r="X18" s="162">
        <f>DF45</f>
        <v>800</v>
      </c>
      <c r="Y18" s="162"/>
      <c r="Z18" s="162"/>
      <c r="AB18" s="128"/>
      <c r="AC18" s="134" t="s">
        <v>28</v>
      </c>
      <c r="AD18" s="129"/>
      <c r="AE18" s="129"/>
      <c r="AF18" s="169">
        <f>AF9-AF17</f>
        <v>-11550</v>
      </c>
      <c r="AG18" s="130"/>
      <c r="AP18" s="205" t="s">
        <v>149</v>
      </c>
      <c r="AQ18" s="206"/>
      <c r="AR18" s="206"/>
      <c r="AS18" s="206"/>
      <c r="AT18" s="206"/>
      <c r="AU18" s="206"/>
      <c r="BR18" s="205" t="s">
        <v>203</v>
      </c>
      <c r="BS18" s="206"/>
      <c r="BT18" s="206"/>
      <c r="BU18" s="206"/>
      <c r="BV18" s="206"/>
      <c r="BW18" s="206"/>
      <c r="CT18" s="67" t="s">
        <v>133</v>
      </c>
      <c r="CU18" s="67" t="s">
        <v>207</v>
      </c>
      <c r="CV18" s="67" t="s">
        <v>209</v>
      </c>
      <c r="CW18" s="68"/>
      <c r="CX18" s="68"/>
      <c r="CY18" s="68" t="e">
        <f t="shared" ref="CY18:CY19" si="4">CY17+CX18-CW18</f>
        <v>#VALUE!</v>
      </c>
      <c r="DA18" s="205" t="s">
        <v>116</v>
      </c>
      <c r="DB18" s="206"/>
      <c r="DC18" s="206"/>
      <c r="DD18" s="206"/>
      <c r="DE18" s="206"/>
      <c r="DF18" s="206"/>
    </row>
    <row r="19" spans="2:110" ht="21.75" thickTop="1" x14ac:dyDescent="0.35">
      <c r="B19" s="124"/>
      <c r="C19" s="124" t="s">
        <v>62</v>
      </c>
      <c r="D19" s="124">
        <v>101</v>
      </c>
      <c r="E19" s="124"/>
      <c r="F19" s="124">
        <v>900</v>
      </c>
      <c r="H19" s="49">
        <v>31</v>
      </c>
      <c r="I19" s="49" t="s">
        <v>85</v>
      </c>
      <c r="J19" s="49">
        <v>209</v>
      </c>
      <c r="K19" s="50">
        <v>400</v>
      </c>
      <c r="L19" s="50"/>
      <c r="N19" s="49"/>
      <c r="O19" s="49"/>
      <c r="P19" s="49"/>
      <c r="Q19" s="50"/>
      <c r="R19" s="50"/>
      <c r="T19" s="162"/>
      <c r="U19" s="162" t="s">
        <v>147</v>
      </c>
      <c r="V19" s="162"/>
      <c r="W19" s="162"/>
      <c r="X19" s="162">
        <f>'Adjusting the Accounts 3'!BQ23</f>
        <v>1200</v>
      </c>
      <c r="Y19" s="162"/>
      <c r="Z19" s="162"/>
      <c r="AB19" s="138"/>
      <c r="AC19" s="139"/>
      <c r="AD19" s="139"/>
      <c r="AE19" s="139"/>
      <c r="AF19" s="139"/>
      <c r="AG19" s="146"/>
      <c r="AP19" s="207" t="s">
        <v>143</v>
      </c>
      <c r="AQ19" s="208"/>
      <c r="AR19" s="208"/>
      <c r="AS19" s="208"/>
      <c r="AT19" s="208"/>
      <c r="AU19" s="208"/>
      <c r="BR19" s="207" t="s">
        <v>144</v>
      </c>
      <c r="BS19" s="208"/>
      <c r="BT19" s="208"/>
      <c r="BU19" s="208"/>
      <c r="BV19" s="208"/>
      <c r="BW19" s="208"/>
      <c r="CT19" s="67"/>
      <c r="CU19" s="67"/>
      <c r="CV19" s="67"/>
      <c r="CW19" s="135"/>
      <c r="CX19" s="135"/>
      <c r="CY19" s="68" t="e">
        <f t="shared" si="4"/>
        <v>#VALUE!</v>
      </c>
      <c r="DA19" s="207" t="s">
        <v>135</v>
      </c>
      <c r="DB19" s="208"/>
      <c r="DC19" s="208"/>
      <c r="DD19" s="208"/>
      <c r="DE19" s="208"/>
      <c r="DF19" s="208"/>
    </row>
    <row r="20" spans="2:110" ht="18.75" x14ac:dyDescent="0.3">
      <c r="B20" s="124"/>
      <c r="C20" s="124" t="s">
        <v>69</v>
      </c>
      <c r="D20" s="124"/>
      <c r="E20" s="124"/>
      <c r="F20" s="124"/>
      <c r="H20" s="49"/>
      <c r="I20" s="49" t="s">
        <v>79</v>
      </c>
      <c r="J20" s="49">
        <v>400</v>
      </c>
      <c r="K20" s="50"/>
      <c r="L20" s="50">
        <v>400</v>
      </c>
      <c r="N20" s="49">
        <v>31</v>
      </c>
      <c r="O20" s="49" t="s">
        <v>159</v>
      </c>
      <c r="P20" s="49">
        <v>350</v>
      </c>
      <c r="Q20" s="50">
        <v>2860</v>
      </c>
      <c r="R20" s="50"/>
      <c r="T20" s="162"/>
      <c r="U20" s="162" t="s">
        <v>74</v>
      </c>
      <c r="V20" s="162"/>
      <c r="W20" s="162"/>
      <c r="X20" s="162">
        <f>CY11</f>
        <v>-10600</v>
      </c>
      <c r="Y20" s="162"/>
      <c r="Z20" s="162"/>
      <c r="AP20" s="45" t="s">
        <v>56</v>
      </c>
      <c r="AQ20" s="57" t="s">
        <v>87</v>
      </c>
      <c r="AR20" s="45" t="s">
        <v>65</v>
      </c>
      <c r="AS20" s="45" t="s">
        <v>106</v>
      </c>
      <c r="AT20" s="45" t="s">
        <v>107</v>
      </c>
      <c r="AU20" s="45" t="s">
        <v>88</v>
      </c>
      <c r="BR20" s="45" t="s">
        <v>56</v>
      </c>
      <c r="BS20" s="57" t="s">
        <v>87</v>
      </c>
      <c r="BT20" s="45" t="s">
        <v>65</v>
      </c>
      <c r="BU20" s="45" t="s">
        <v>106</v>
      </c>
      <c r="BV20" s="45" t="s">
        <v>107</v>
      </c>
      <c r="BW20" s="45" t="s">
        <v>88</v>
      </c>
      <c r="CT20" s="233"/>
      <c r="CU20" s="234"/>
      <c r="CV20" s="235"/>
      <c r="CW20" s="124">
        <f>SUM(CW15:CW16)</f>
        <v>0</v>
      </c>
      <c r="CX20" s="124">
        <f>SUM(CX15:CX16)</f>
        <v>0</v>
      </c>
      <c r="CY20" s="136" t="e">
        <f>CY19-CW19</f>
        <v>#VALUE!</v>
      </c>
      <c r="DA20" s="45" t="s">
        <v>56</v>
      </c>
      <c r="DB20" s="57" t="s">
        <v>87</v>
      </c>
      <c r="DC20" s="45" t="s">
        <v>65</v>
      </c>
      <c r="DD20" s="45" t="s">
        <v>106</v>
      </c>
      <c r="DE20" s="45" t="s">
        <v>107</v>
      </c>
      <c r="DF20" s="45" t="s">
        <v>88</v>
      </c>
    </row>
    <row r="21" spans="2:110" ht="15.75" x14ac:dyDescent="0.25">
      <c r="B21" s="124"/>
      <c r="C21" s="124"/>
      <c r="D21" s="124"/>
      <c r="E21" s="124"/>
      <c r="F21" s="124"/>
      <c r="H21" s="49"/>
      <c r="I21" s="49" t="s">
        <v>122</v>
      </c>
      <c r="J21" s="49"/>
      <c r="K21" s="50"/>
      <c r="L21" s="50"/>
      <c r="N21" s="49"/>
      <c r="O21" s="49" t="s">
        <v>60</v>
      </c>
      <c r="P21" s="49">
        <v>301</v>
      </c>
      <c r="Q21" s="50"/>
      <c r="R21" s="50">
        <v>2860</v>
      </c>
      <c r="T21" s="162"/>
      <c r="U21" s="162" t="s">
        <v>74</v>
      </c>
      <c r="V21" s="162">
        <f>CR9</f>
        <v>500</v>
      </c>
      <c r="W21" s="162"/>
      <c r="X21" s="162"/>
      <c r="Y21" s="162"/>
      <c r="Z21" s="162"/>
      <c r="AB21" s="214" t="s">
        <v>22</v>
      </c>
      <c r="AC21" s="215"/>
      <c r="AD21" s="215"/>
      <c r="AE21" s="215"/>
      <c r="AF21" s="215"/>
      <c r="AG21" s="216"/>
      <c r="AP21" s="114" t="s">
        <v>133</v>
      </c>
      <c r="AQ21" s="114" t="s">
        <v>132</v>
      </c>
      <c r="AR21" s="114" t="s">
        <v>131</v>
      </c>
      <c r="AS21" s="115"/>
      <c r="AT21" s="115">
        <v>40</v>
      </c>
      <c r="AU21" s="115">
        <f>AT21</f>
        <v>40</v>
      </c>
      <c r="BR21" s="246" t="s">
        <v>133</v>
      </c>
      <c r="BS21" s="246" t="s">
        <v>132</v>
      </c>
      <c r="BT21" s="246" t="s">
        <v>131</v>
      </c>
      <c r="BU21" s="50"/>
      <c r="BV21" s="50">
        <v>1200</v>
      </c>
      <c r="BW21" s="50">
        <f>BV21</f>
        <v>1200</v>
      </c>
      <c r="DA21" s="246" t="s">
        <v>133</v>
      </c>
      <c r="DB21" s="246" t="s">
        <v>132</v>
      </c>
      <c r="DC21" s="246" t="s">
        <v>131</v>
      </c>
      <c r="DD21" s="247">
        <v>50</v>
      </c>
      <c r="DE21" s="247"/>
      <c r="DF21" s="247">
        <f>DD21</f>
        <v>50</v>
      </c>
    </row>
    <row r="22" spans="2:110" ht="15.75" x14ac:dyDescent="0.25">
      <c r="B22" s="124">
        <v>4</v>
      </c>
      <c r="C22" s="124" t="s">
        <v>70</v>
      </c>
      <c r="D22" s="124">
        <v>130</v>
      </c>
      <c r="E22" s="124">
        <v>600</v>
      </c>
      <c r="F22" s="124"/>
      <c r="H22" s="49"/>
      <c r="I22" s="49"/>
      <c r="J22" s="49"/>
      <c r="K22" s="50"/>
      <c r="L22" s="50"/>
      <c r="N22" s="49"/>
      <c r="O22" s="49" t="s">
        <v>167</v>
      </c>
      <c r="P22" s="49"/>
      <c r="Q22" s="50"/>
      <c r="R22" s="50"/>
      <c r="T22" s="162"/>
      <c r="U22" s="162" t="s">
        <v>86</v>
      </c>
      <c r="V22" s="162"/>
      <c r="W22" s="162"/>
      <c r="X22" s="162">
        <f>CY11</f>
        <v>-10600</v>
      </c>
      <c r="Y22" s="162"/>
      <c r="Z22" s="162"/>
      <c r="AB22" s="217" t="s">
        <v>29</v>
      </c>
      <c r="AC22" s="218"/>
      <c r="AD22" s="218"/>
      <c r="AE22" s="218"/>
      <c r="AF22" s="218"/>
      <c r="AG22" s="187"/>
      <c r="AP22" s="44"/>
      <c r="AQ22" s="44"/>
      <c r="AR22" s="44"/>
      <c r="AS22" s="59"/>
      <c r="AT22" s="59"/>
      <c r="AU22" s="59">
        <f>AU21+AS22-AT22</f>
        <v>40</v>
      </c>
      <c r="BR22" s="246"/>
      <c r="BS22" s="246"/>
      <c r="BT22" s="246"/>
      <c r="BU22" s="50"/>
      <c r="BV22" s="50"/>
      <c r="BW22" s="50">
        <f>BW21+BU22-BV22</f>
        <v>1200</v>
      </c>
      <c r="DA22" s="44"/>
      <c r="DB22" s="44"/>
      <c r="DC22" s="44"/>
      <c r="DD22" s="59"/>
      <c r="DE22" s="59">
        <f>R14</f>
        <v>50</v>
      </c>
      <c r="DF22" s="137">
        <f>DF21+DD22-DE22</f>
        <v>0</v>
      </c>
    </row>
    <row r="23" spans="2:110" ht="15.75" x14ac:dyDescent="0.25">
      <c r="B23" s="124"/>
      <c r="C23" s="124" t="s">
        <v>62</v>
      </c>
      <c r="D23" s="124">
        <v>101</v>
      </c>
      <c r="E23" s="124"/>
      <c r="F23" s="124">
        <v>600</v>
      </c>
      <c r="H23" s="49">
        <v>31</v>
      </c>
      <c r="I23" s="49" t="s">
        <v>2</v>
      </c>
      <c r="J23" s="49">
        <v>112</v>
      </c>
      <c r="K23" s="50">
        <v>200</v>
      </c>
      <c r="L23" s="50"/>
      <c r="N23" s="49"/>
      <c r="O23" s="49"/>
      <c r="P23" s="49"/>
      <c r="Q23" s="50"/>
      <c r="R23" s="50"/>
      <c r="T23" s="162"/>
      <c r="U23" s="162" t="s">
        <v>77</v>
      </c>
      <c r="V23" s="162">
        <f>DF31</f>
        <v>0</v>
      </c>
      <c r="W23" s="162"/>
      <c r="X23" s="162"/>
      <c r="Y23" s="162"/>
      <c r="Z23" s="162"/>
      <c r="AB23" s="217" t="s">
        <v>30</v>
      </c>
      <c r="AC23" s="218"/>
      <c r="AD23" s="218"/>
      <c r="AE23" s="218"/>
      <c r="AF23" s="218"/>
      <c r="AG23" s="219"/>
      <c r="AP23" s="138"/>
      <c r="AQ23" s="139"/>
      <c r="AR23" s="139"/>
      <c r="AS23" s="140">
        <f>SUM(AS21:AS22)</f>
        <v>0</v>
      </c>
      <c r="AT23" s="124">
        <f>SUM(AT21:AT22)</f>
        <v>40</v>
      </c>
      <c r="AU23" s="141">
        <f>AU22</f>
        <v>40</v>
      </c>
      <c r="BR23" s="233"/>
      <c r="BS23" s="234"/>
      <c r="BT23" s="235"/>
      <c r="BU23" s="124">
        <f>SUM(BU21:BU22)</f>
        <v>0</v>
      </c>
      <c r="BV23" s="124">
        <f>SUM(BV21:BV22)</f>
        <v>1200</v>
      </c>
      <c r="BW23" s="124">
        <f>BW22</f>
        <v>1200</v>
      </c>
      <c r="DA23" s="233"/>
      <c r="DB23" s="234"/>
      <c r="DC23" s="235"/>
      <c r="DD23" s="124">
        <f>SUM(DD21:DD22)</f>
        <v>50</v>
      </c>
      <c r="DE23" s="124">
        <f>SUM(DE21:DE22)</f>
        <v>50</v>
      </c>
      <c r="DF23" s="137">
        <f>DF22+DD23-DE23</f>
        <v>0</v>
      </c>
    </row>
    <row r="24" spans="2:110" x14ac:dyDescent="0.25">
      <c r="B24" s="124"/>
      <c r="C24" s="124" t="s">
        <v>71</v>
      </c>
      <c r="D24" s="124"/>
      <c r="E24" s="124"/>
      <c r="F24" s="124"/>
      <c r="H24" s="49"/>
      <c r="I24" s="49" t="s">
        <v>79</v>
      </c>
      <c r="J24" s="49">
        <v>400</v>
      </c>
      <c r="K24" s="50"/>
      <c r="L24" s="50">
        <v>200</v>
      </c>
      <c r="N24" s="49">
        <v>31</v>
      </c>
      <c r="O24" s="49" t="s">
        <v>74</v>
      </c>
      <c r="P24" s="49">
        <v>301</v>
      </c>
      <c r="Q24" s="50">
        <v>500</v>
      </c>
      <c r="R24" s="50"/>
      <c r="T24" s="162"/>
      <c r="U24" s="168" t="s">
        <v>113</v>
      </c>
      <c r="V24" s="162">
        <f>DF59</f>
        <v>0</v>
      </c>
      <c r="W24" s="162"/>
      <c r="X24" s="162"/>
      <c r="Y24" s="162"/>
      <c r="Z24" s="162"/>
      <c r="AB24" s="128"/>
      <c r="AC24" s="129"/>
      <c r="AD24" s="129"/>
      <c r="AE24" s="129"/>
      <c r="AF24" s="129"/>
      <c r="AG24" s="130"/>
    </row>
    <row r="25" spans="2:110" ht="21" x14ac:dyDescent="0.35">
      <c r="B25" s="124"/>
      <c r="C25" s="124"/>
      <c r="D25" s="124"/>
      <c r="E25" s="124"/>
      <c r="F25" s="124"/>
      <c r="H25" s="49"/>
      <c r="I25" s="49" t="s">
        <v>125</v>
      </c>
      <c r="J25" s="49"/>
      <c r="K25" s="50"/>
      <c r="L25" s="50"/>
      <c r="N25" s="49"/>
      <c r="O25" s="49" t="s">
        <v>169</v>
      </c>
      <c r="P25" s="49">
        <v>306</v>
      </c>
      <c r="Q25" s="50"/>
      <c r="R25" s="50">
        <v>500</v>
      </c>
      <c r="T25" s="162"/>
      <c r="U25" s="168" t="s">
        <v>18</v>
      </c>
      <c r="V25" s="162">
        <f>DF16</f>
        <v>900</v>
      </c>
      <c r="W25" s="162"/>
      <c r="X25" s="162"/>
      <c r="Y25" s="162"/>
      <c r="Z25" s="162"/>
      <c r="AB25" s="128"/>
      <c r="AC25" s="129"/>
      <c r="AD25" s="129" t="s">
        <v>32</v>
      </c>
      <c r="AE25" s="129"/>
      <c r="AF25" s="149">
        <v>0</v>
      </c>
      <c r="AG25" s="130"/>
      <c r="DA25" s="205" t="s">
        <v>77</v>
      </c>
      <c r="DB25" s="206"/>
      <c r="DC25" s="206"/>
      <c r="DD25" s="206"/>
      <c r="DE25" s="206"/>
      <c r="DF25" s="206"/>
    </row>
    <row r="26" spans="2:110" ht="21" x14ac:dyDescent="0.35">
      <c r="B26" s="124">
        <v>5</v>
      </c>
      <c r="C26" s="124" t="s">
        <v>3</v>
      </c>
      <c r="D26" s="124">
        <v>126</v>
      </c>
      <c r="E26" s="124">
        <v>2500</v>
      </c>
      <c r="F26" s="124"/>
      <c r="H26" s="49"/>
      <c r="I26" s="49"/>
      <c r="J26" s="49"/>
      <c r="K26" s="50"/>
      <c r="L26" s="50"/>
      <c r="N26" s="49"/>
      <c r="O26" s="49" t="s">
        <v>168</v>
      </c>
      <c r="P26" s="49"/>
      <c r="Q26" s="50"/>
      <c r="R26" s="50"/>
      <c r="T26" s="162"/>
      <c r="U26" s="168" t="s">
        <v>116</v>
      </c>
      <c r="V26" s="162">
        <f>DF23</f>
        <v>0</v>
      </c>
      <c r="W26" s="162"/>
      <c r="X26" s="162"/>
      <c r="Y26" s="162"/>
      <c r="Z26" s="162"/>
      <c r="AB26" s="128"/>
      <c r="AC26" s="129"/>
      <c r="AD26" s="129" t="s">
        <v>171</v>
      </c>
      <c r="AE26" s="129"/>
      <c r="AF26" s="26">
        <v>10000</v>
      </c>
      <c r="AG26" s="130"/>
      <c r="DA26" s="207" t="s">
        <v>105</v>
      </c>
      <c r="DB26" s="208"/>
      <c r="DC26" s="208"/>
      <c r="DD26" s="208"/>
      <c r="DE26" s="208"/>
      <c r="DF26" s="208"/>
    </row>
    <row r="27" spans="2:110" ht="18.75" x14ac:dyDescent="0.3">
      <c r="B27" s="124"/>
      <c r="C27" s="124" t="s">
        <v>72</v>
      </c>
      <c r="D27" s="124">
        <v>201</v>
      </c>
      <c r="E27" s="124"/>
      <c r="F27" s="124">
        <v>2500</v>
      </c>
      <c r="H27" s="49">
        <v>31</v>
      </c>
      <c r="I27" s="49" t="s">
        <v>123</v>
      </c>
      <c r="J27" s="49">
        <v>905</v>
      </c>
      <c r="K27" s="50">
        <v>50</v>
      </c>
      <c r="L27" s="50"/>
      <c r="N27" s="236"/>
      <c r="O27" s="237"/>
      <c r="P27" s="237"/>
      <c r="Q27" s="237"/>
      <c r="R27" s="238"/>
      <c r="T27" s="162"/>
      <c r="U27" s="168" t="s">
        <v>123</v>
      </c>
      <c r="V27" s="162">
        <f>DF38</f>
        <v>50</v>
      </c>
      <c r="W27" s="162"/>
      <c r="X27" s="162"/>
      <c r="Y27" s="162"/>
      <c r="Z27" s="162"/>
      <c r="AB27" s="128"/>
      <c r="AC27" s="129"/>
      <c r="AD27" s="129"/>
      <c r="AE27" s="129"/>
      <c r="AF27" s="129"/>
      <c r="AG27" s="130"/>
      <c r="DA27" s="45" t="s">
        <v>56</v>
      </c>
      <c r="DB27" s="57" t="s">
        <v>87</v>
      </c>
      <c r="DC27" s="45" t="s">
        <v>65</v>
      </c>
      <c r="DD27" s="45" t="s">
        <v>106</v>
      </c>
      <c r="DE27" s="45" t="s">
        <v>107</v>
      </c>
      <c r="DF27" s="45" t="s">
        <v>88</v>
      </c>
    </row>
    <row r="28" spans="2:110" x14ac:dyDescent="0.25">
      <c r="B28" s="124"/>
      <c r="C28" s="124" t="s">
        <v>73</v>
      </c>
      <c r="D28" s="124"/>
      <c r="E28" s="124"/>
      <c r="F28" s="124"/>
      <c r="H28" s="49"/>
      <c r="I28" s="49" t="s">
        <v>124</v>
      </c>
      <c r="J28" s="49">
        <v>230</v>
      </c>
      <c r="K28" s="50"/>
      <c r="L28" s="50">
        <v>50</v>
      </c>
      <c r="N28" s="1"/>
      <c r="O28" s="1"/>
      <c r="P28" s="1"/>
      <c r="Q28" s="51">
        <f>SUM(Q7:Q27)</f>
        <v>21700</v>
      </c>
      <c r="R28" s="51">
        <f>SUM(R7:R27)</f>
        <v>21700</v>
      </c>
      <c r="T28" s="162"/>
      <c r="U28" s="168" t="s">
        <v>118</v>
      </c>
      <c r="V28" s="162">
        <f>DF52</f>
        <v>0</v>
      </c>
      <c r="W28" s="162"/>
      <c r="X28" s="162"/>
      <c r="Y28" s="162"/>
      <c r="Z28" s="162"/>
      <c r="AB28" s="128"/>
      <c r="AC28" s="129"/>
      <c r="AD28" s="129" t="s">
        <v>172</v>
      </c>
      <c r="AE28" s="129"/>
      <c r="AF28" s="129">
        <f>AF18</f>
        <v>-11550</v>
      </c>
      <c r="AG28" s="130"/>
      <c r="DA28" s="43" t="s">
        <v>91</v>
      </c>
      <c r="DB28" s="43"/>
      <c r="DC28" s="43" t="s">
        <v>89</v>
      </c>
      <c r="DD28" s="58">
        <v>4000</v>
      </c>
      <c r="DE28" s="58"/>
      <c r="DF28" s="58">
        <f>DD28</f>
        <v>4000</v>
      </c>
    </row>
    <row r="29" spans="2:110" ht="19.5" thickBot="1" x14ac:dyDescent="0.35">
      <c r="B29" s="124"/>
      <c r="C29" s="124"/>
      <c r="D29" s="124"/>
      <c r="E29" s="124"/>
      <c r="F29" s="124"/>
      <c r="H29" s="49"/>
      <c r="I29" s="49" t="s">
        <v>128</v>
      </c>
      <c r="J29" s="49"/>
      <c r="K29" s="50"/>
      <c r="L29" s="50"/>
      <c r="T29" s="162"/>
      <c r="U29" s="162"/>
      <c r="V29" s="166">
        <f>SUM(V9:V28)</f>
        <v>23400</v>
      </c>
      <c r="W29" s="167"/>
      <c r="X29" s="166">
        <f ca="1">SUM(X9:X29)</f>
        <v>30190</v>
      </c>
      <c r="Y29" s="162"/>
      <c r="Z29" s="162"/>
      <c r="AB29" s="128"/>
      <c r="AC29" s="129"/>
      <c r="AD29" s="129"/>
      <c r="AE29" s="129"/>
      <c r="AF29" s="129"/>
      <c r="AG29" s="130"/>
      <c r="DA29" s="246" t="s">
        <v>133</v>
      </c>
      <c r="DB29" s="246" t="s">
        <v>137</v>
      </c>
      <c r="DC29" s="246" t="s">
        <v>131</v>
      </c>
      <c r="DD29" s="247">
        <v>1200</v>
      </c>
      <c r="DE29" s="247"/>
      <c r="DF29" s="247">
        <f>DF28+DD29-DE29</f>
        <v>5200</v>
      </c>
    </row>
    <row r="30" spans="2:110" ht="15.75" thickTop="1" x14ac:dyDescent="0.25">
      <c r="B30" s="124">
        <v>20</v>
      </c>
      <c r="C30" s="124" t="s">
        <v>100</v>
      </c>
      <c r="D30" s="124">
        <v>306</v>
      </c>
      <c r="E30" s="124">
        <v>500</v>
      </c>
      <c r="F30" s="124"/>
      <c r="H30" s="49"/>
      <c r="I30" s="49"/>
      <c r="J30" s="49"/>
      <c r="K30" s="50"/>
      <c r="L30" s="50"/>
      <c r="T30" s="165"/>
      <c r="U30" s="165"/>
      <c r="V30" s="162"/>
      <c r="W30" s="162"/>
      <c r="X30" s="162"/>
      <c r="Y30" s="162"/>
      <c r="Z30" s="162"/>
      <c r="AB30" s="128"/>
      <c r="AC30" s="129"/>
      <c r="AD30" s="129" t="s">
        <v>173</v>
      </c>
      <c r="AE30" s="129"/>
      <c r="AF30" s="129">
        <f>V21</f>
        <v>500</v>
      </c>
      <c r="AG30" s="130"/>
      <c r="DA30" s="124"/>
      <c r="DB30" s="124"/>
      <c r="DC30" s="124"/>
      <c r="DD30" s="124"/>
      <c r="DE30" s="124">
        <f>R15</f>
        <v>5200</v>
      </c>
      <c r="DF30" s="136">
        <f>DF29-DE30</f>
        <v>0</v>
      </c>
    </row>
    <row r="31" spans="2:110" ht="19.5" thickBot="1" x14ac:dyDescent="0.35">
      <c r="B31" s="124"/>
      <c r="C31" s="124" t="s">
        <v>62</v>
      </c>
      <c r="D31" s="124">
        <v>101</v>
      </c>
      <c r="E31" s="124"/>
      <c r="F31" s="124">
        <v>500</v>
      </c>
      <c r="H31" s="49">
        <v>26</v>
      </c>
      <c r="I31" s="49" t="s">
        <v>77</v>
      </c>
      <c r="J31" s="49">
        <v>726</v>
      </c>
      <c r="K31" s="50">
        <v>1200</v>
      </c>
      <c r="L31" s="50"/>
      <c r="AB31" s="128"/>
      <c r="AC31" s="129"/>
      <c r="AD31" s="129" t="s">
        <v>174</v>
      </c>
      <c r="AE31" s="129"/>
      <c r="AF31" s="30">
        <f>AF26+AF28-AF30</f>
        <v>-2050</v>
      </c>
      <c r="AG31" s="130"/>
      <c r="DA31" s="233"/>
      <c r="DB31" s="234"/>
      <c r="DC31" s="235"/>
      <c r="DD31" s="124">
        <f>SUM(DD28:DD29)</f>
        <v>5200</v>
      </c>
      <c r="DE31" s="124">
        <f>SUM(DE28:DE29)</f>
        <v>0</v>
      </c>
      <c r="DF31" s="136">
        <f>DF30</f>
        <v>0</v>
      </c>
    </row>
    <row r="32" spans="2:110" ht="15.75" thickTop="1" x14ac:dyDescent="0.25">
      <c r="B32" s="124"/>
      <c r="C32" s="124" t="s">
        <v>78</v>
      </c>
      <c r="D32" s="124"/>
      <c r="E32" s="124"/>
      <c r="F32" s="124"/>
      <c r="H32" s="49"/>
      <c r="I32" s="49" t="s">
        <v>127</v>
      </c>
      <c r="J32" s="49">
        <v>212</v>
      </c>
      <c r="K32" s="50"/>
      <c r="L32" s="50">
        <v>1200</v>
      </c>
      <c r="AB32" s="138"/>
      <c r="AC32" s="139"/>
      <c r="AD32" s="139"/>
      <c r="AE32" s="139"/>
      <c r="AF32" s="139"/>
      <c r="AG32" s="146"/>
    </row>
    <row r="33" spans="2:110" ht="21" x14ac:dyDescent="0.35">
      <c r="B33" s="124"/>
      <c r="C33" s="124"/>
      <c r="D33" s="124"/>
      <c r="E33" s="124"/>
      <c r="F33" s="124"/>
      <c r="H33" s="49"/>
      <c r="I33" s="49" t="s">
        <v>126</v>
      </c>
      <c r="J33" s="5"/>
      <c r="K33" s="46"/>
      <c r="L33" s="46"/>
      <c r="DA33" s="173" t="s">
        <v>123</v>
      </c>
      <c r="DB33" s="174"/>
      <c r="DC33" s="174"/>
      <c r="DD33" s="174"/>
      <c r="DE33" s="174"/>
      <c r="DF33" s="174"/>
    </row>
    <row r="34" spans="2:110" ht="21" x14ac:dyDescent="0.35">
      <c r="B34" s="124">
        <v>26</v>
      </c>
      <c r="C34" s="124" t="s">
        <v>77</v>
      </c>
      <c r="D34" s="124">
        <v>726</v>
      </c>
      <c r="E34" s="124">
        <v>4000</v>
      </c>
      <c r="F34" s="124"/>
      <c r="H34" s="236"/>
      <c r="I34" s="237"/>
      <c r="J34" s="237"/>
      <c r="K34" s="237"/>
      <c r="L34" s="238"/>
      <c r="AB34" s="214" t="s">
        <v>22</v>
      </c>
      <c r="AC34" s="215"/>
      <c r="AD34" s="215"/>
      <c r="AE34" s="215"/>
      <c r="AF34" s="215"/>
      <c r="AG34" s="188"/>
      <c r="DA34" s="175" t="s">
        <v>139</v>
      </c>
      <c r="DB34" s="176"/>
      <c r="DC34" s="176"/>
      <c r="DD34" s="176"/>
      <c r="DE34" s="176"/>
      <c r="DF34" s="176"/>
    </row>
    <row r="35" spans="2:110" ht="18.75" x14ac:dyDescent="0.3">
      <c r="B35" s="124"/>
      <c r="C35" s="124" t="s">
        <v>62</v>
      </c>
      <c r="D35" s="124">
        <v>101</v>
      </c>
      <c r="E35" s="124"/>
      <c r="F35" s="124">
        <v>4000</v>
      </c>
      <c r="H35" s="1"/>
      <c r="I35" s="1"/>
      <c r="J35" s="1"/>
      <c r="K35" s="51">
        <f>SUM(K7:K34)</f>
        <v>3440</v>
      </c>
      <c r="L35" s="51">
        <f>SUM(L7:L34)</f>
        <v>3440</v>
      </c>
      <c r="AB35" s="217" t="s">
        <v>40</v>
      </c>
      <c r="AC35" s="218"/>
      <c r="AD35" s="218"/>
      <c r="AE35" s="218"/>
      <c r="AF35" s="218"/>
      <c r="AG35" s="219"/>
      <c r="DA35" s="45" t="s">
        <v>56</v>
      </c>
      <c r="DB35" s="57" t="s">
        <v>87</v>
      </c>
      <c r="DC35" s="45" t="s">
        <v>65</v>
      </c>
      <c r="DD35" s="45" t="s">
        <v>106</v>
      </c>
      <c r="DE35" s="45" t="s">
        <v>107</v>
      </c>
      <c r="DF35" s="45" t="s">
        <v>88</v>
      </c>
    </row>
    <row r="36" spans="2:110" ht="15.75" x14ac:dyDescent="0.25">
      <c r="B36" s="124"/>
      <c r="C36" s="124" t="s">
        <v>76</v>
      </c>
      <c r="D36" s="146"/>
      <c r="E36" s="146"/>
      <c r="F36" s="146"/>
      <c r="AB36" s="217" t="s">
        <v>30</v>
      </c>
      <c r="AC36" s="218"/>
      <c r="AD36" s="218"/>
      <c r="AE36" s="218"/>
      <c r="AF36" s="218"/>
      <c r="AG36" s="219"/>
      <c r="DA36" s="246" t="s">
        <v>133</v>
      </c>
      <c r="DB36" s="246" t="s">
        <v>137</v>
      </c>
      <c r="DC36" s="246" t="s">
        <v>131</v>
      </c>
      <c r="DD36" s="247">
        <v>50</v>
      </c>
      <c r="DE36" s="247"/>
      <c r="DF36" s="247">
        <f>DD36</f>
        <v>50</v>
      </c>
    </row>
    <row r="37" spans="2:110" ht="15.75" x14ac:dyDescent="0.25">
      <c r="B37" s="124"/>
      <c r="C37" s="124"/>
      <c r="D37" s="124"/>
      <c r="E37" s="124"/>
      <c r="F37" s="124"/>
      <c r="AB37" s="170" t="s">
        <v>39</v>
      </c>
      <c r="AC37" s="190"/>
      <c r="AD37" s="190"/>
      <c r="AE37" s="190"/>
      <c r="AF37" s="190"/>
      <c r="AG37" s="191"/>
      <c r="DA37" s="49"/>
      <c r="DB37" s="49"/>
      <c r="DC37" s="49"/>
      <c r="DD37" s="50"/>
      <c r="DE37" s="50"/>
      <c r="DF37" s="50">
        <f>DF36+DD37-DE37</f>
        <v>50</v>
      </c>
    </row>
    <row r="38" spans="2:110" x14ac:dyDescent="0.25">
      <c r="B38" s="124">
        <v>31</v>
      </c>
      <c r="C38" s="124" t="s">
        <v>0</v>
      </c>
      <c r="D38" s="124">
        <v>101</v>
      </c>
      <c r="E38" s="124">
        <v>10000</v>
      </c>
      <c r="F38" s="124"/>
      <c r="AB38" s="171"/>
      <c r="AC38" s="129" t="s">
        <v>0</v>
      </c>
      <c r="AD38" s="129"/>
      <c r="AE38" s="129"/>
      <c r="AF38" s="129">
        <f>'The Recording Process 2'!J9</f>
        <v>15200</v>
      </c>
      <c r="AG38" s="130"/>
      <c r="DA38" s="183"/>
      <c r="DB38" s="184"/>
      <c r="DC38" s="185"/>
      <c r="DD38" s="124">
        <f>SUM(DD36:DD37)</f>
        <v>50</v>
      </c>
      <c r="DE38" s="124">
        <f>SUM(DE36:DE37)</f>
        <v>0</v>
      </c>
      <c r="DF38" s="124">
        <f>DF37</f>
        <v>50</v>
      </c>
    </row>
    <row r="39" spans="2:110" x14ac:dyDescent="0.25">
      <c r="B39" s="124"/>
      <c r="C39" s="124" t="s">
        <v>79</v>
      </c>
      <c r="D39" s="124">
        <v>400</v>
      </c>
      <c r="E39" s="124"/>
      <c r="F39" s="124">
        <v>10000</v>
      </c>
      <c r="AB39" s="128"/>
      <c r="AC39" s="129" t="s">
        <v>2</v>
      </c>
      <c r="AD39" s="129"/>
      <c r="AE39" s="129"/>
      <c r="AF39" s="129">
        <f>V10</f>
        <v>200</v>
      </c>
      <c r="AG39" s="130"/>
    </row>
    <row r="40" spans="2:110" ht="21" x14ac:dyDescent="0.35">
      <c r="B40" s="124"/>
      <c r="C40" s="124" t="s">
        <v>80</v>
      </c>
      <c r="D40" s="124"/>
      <c r="E40" s="124"/>
      <c r="F40" s="124"/>
      <c r="AB40" s="171"/>
      <c r="AC40" s="129" t="s">
        <v>3</v>
      </c>
      <c r="AD40" s="129"/>
      <c r="AE40" s="129"/>
      <c r="AF40" s="129">
        <f>V11</f>
        <v>1000</v>
      </c>
      <c r="AG40" s="130"/>
      <c r="DA40" s="173" t="s">
        <v>85</v>
      </c>
      <c r="DB40" s="174"/>
      <c r="DC40" s="174"/>
      <c r="DD40" s="174"/>
      <c r="DE40" s="174"/>
      <c r="DF40" s="174"/>
    </row>
    <row r="41" spans="2:110" ht="21" x14ac:dyDescent="0.35">
      <c r="E41" s="151">
        <f>SUM(E6:E40)</f>
        <v>34700</v>
      </c>
      <c r="F41" s="151">
        <f>SUM(F6:F40)</f>
        <v>34700</v>
      </c>
      <c r="AB41" s="171"/>
      <c r="AC41" s="129" t="s">
        <v>70</v>
      </c>
      <c r="AD41" s="129"/>
      <c r="AE41" s="129"/>
      <c r="AF41" s="129">
        <f>V12</f>
        <v>550</v>
      </c>
      <c r="AG41" s="130"/>
      <c r="DA41" s="175" t="s">
        <v>98</v>
      </c>
      <c r="DB41" s="176"/>
      <c r="DC41" s="176"/>
      <c r="DD41" s="176"/>
      <c r="DE41" s="176"/>
      <c r="DF41" s="176"/>
    </row>
    <row r="42" spans="2:110" ht="18.75" x14ac:dyDescent="0.3">
      <c r="AB42" s="171"/>
      <c r="AC42" s="189" t="s">
        <v>61</v>
      </c>
      <c r="AD42" s="129"/>
      <c r="AE42" s="129"/>
      <c r="AF42" s="129">
        <f>V13</f>
        <v>5000</v>
      </c>
      <c r="AG42" s="130"/>
      <c r="DA42" s="45" t="s">
        <v>56</v>
      </c>
      <c r="DB42" s="57" t="s">
        <v>87</v>
      </c>
      <c r="DC42" s="45" t="s">
        <v>65</v>
      </c>
      <c r="DD42" s="45" t="s">
        <v>108</v>
      </c>
      <c r="DE42" s="45" t="s">
        <v>109</v>
      </c>
      <c r="DF42" s="45" t="s">
        <v>88</v>
      </c>
    </row>
    <row r="43" spans="2:110" ht="19.5" thickBot="1" x14ac:dyDescent="0.35">
      <c r="AB43" s="171"/>
      <c r="AC43" s="134" t="s">
        <v>36</v>
      </c>
      <c r="AD43" s="129"/>
      <c r="AE43" s="129"/>
      <c r="AF43" s="150">
        <f>SUM(AF38:AF42)</f>
        <v>21950</v>
      </c>
      <c r="AG43" s="130"/>
      <c r="DA43" s="43" t="s">
        <v>91</v>
      </c>
      <c r="DB43" s="43"/>
      <c r="DC43" s="43" t="s">
        <v>89</v>
      </c>
      <c r="DD43" s="58"/>
      <c r="DE43" s="58">
        <v>1200</v>
      </c>
      <c r="DF43" s="58">
        <f>DE43</f>
        <v>1200</v>
      </c>
    </row>
    <row r="44" spans="2:110" ht="15.75" thickTop="1" x14ac:dyDescent="0.25">
      <c r="AB44" s="171"/>
      <c r="AC44" s="129"/>
      <c r="AD44" s="129"/>
      <c r="AE44" s="129"/>
      <c r="AF44" s="129"/>
      <c r="AG44" s="130"/>
      <c r="DA44" s="246" t="s">
        <v>133</v>
      </c>
      <c r="DB44" s="246" t="s">
        <v>132</v>
      </c>
      <c r="DC44" s="246" t="s">
        <v>131</v>
      </c>
      <c r="DD44" s="247">
        <v>400</v>
      </c>
      <c r="DE44" s="247"/>
      <c r="DF44" s="247">
        <f>DF43+DE44-DD44</f>
        <v>800</v>
      </c>
    </row>
    <row r="45" spans="2:110" ht="15.75" x14ac:dyDescent="0.25">
      <c r="AB45" s="170" t="s">
        <v>175</v>
      </c>
      <c r="AC45" s="190"/>
      <c r="AD45" s="190"/>
      <c r="AE45" s="190"/>
      <c r="AF45" s="190"/>
      <c r="AG45" s="191"/>
      <c r="DA45" s="183"/>
      <c r="DB45" s="184"/>
      <c r="DC45" s="185"/>
      <c r="DD45" s="124">
        <f>SUM(DD43:DD44)</f>
        <v>400</v>
      </c>
      <c r="DE45" s="124">
        <f>SUM(DE43:DE44)</f>
        <v>1200</v>
      </c>
      <c r="DF45" s="124">
        <f>DF44</f>
        <v>800</v>
      </c>
    </row>
    <row r="46" spans="2:110" x14ac:dyDescent="0.25">
      <c r="AB46" s="171"/>
      <c r="AC46" s="129" t="s">
        <v>84</v>
      </c>
      <c r="AD46" s="129"/>
      <c r="AE46" s="129"/>
      <c r="AF46" s="129">
        <f>X15</f>
        <v>5000</v>
      </c>
      <c r="AG46" s="130"/>
    </row>
    <row r="47" spans="2:110" ht="21" x14ac:dyDescent="0.35">
      <c r="AB47" s="171"/>
      <c r="AC47" s="129" t="s">
        <v>7</v>
      </c>
      <c r="AD47" s="129"/>
      <c r="AE47" s="129"/>
      <c r="AF47" s="129">
        <f>X16</f>
        <v>2500</v>
      </c>
      <c r="AG47" s="130"/>
      <c r="DA47" s="173" t="s">
        <v>118</v>
      </c>
      <c r="DB47" s="174"/>
      <c r="DC47" s="174"/>
      <c r="DD47" s="174"/>
      <c r="DE47" s="174"/>
      <c r="DF47" s="174"/>
    </row>
    <row r="48" spans="2:110" ht="21" x14ac:dyDescent="0.35">
      <c r="AB48" s="171"/>
      <c r="AC48" s="129" t="s">
        <v>85</v>
      </c>
      <c r="AD48" s="129"/>
      <c r="AE48" s="129"/>
      <c r="AF48" s="129">
        <f>X18</f>
        <v>800</v>
      </c>
      <c r="AG48" s="130"/>
      <c r="DA48" s="175" t="s">
        <v>136</v>
      </c>
      <c r="DB48" s="176"/>
      <c r="DC48" s="176"/>
      <c r="DD48" s="176"/>
      <c r="DE48" s="176"/>
      <c r="DF48" s="176"/>
    </row>
    <row r="49" spans="28:110" ht="18.75" x14ac:dyDescent="0.3">
      <c r="AB49" s="128"/>
      <c r="AC49" s="129" t="s">
        <v>147</v>
      </c>
      <c r="AD49" s="129"/>
      <c r="AE49" s="129"/>
      <c r="AF49" s="129">
        <f>X19</f>
        <v>1200</v>
      </c>
      <c r="AG49" s="130"/>
      <c r="DA49" s="45" t="s">
        <v>56</v>
      </c>
      <c r="DB49" s="57" t="s">
        <v>87</v>
      </c>
      <c r="DC49" s="45" t="s">
        <v>65</v>
      </c>
      <c r="DD49" s="45" t="s">
        <v>106</v>
      </c>
      <c r="DE49" s="45" t="s">
        <v>107</v>
      </c>
      <c r="DF49" s="45" t="s">
        <v>88</v>
      </c>
    </row>
    <row r="50" spans="28:110" x14ac:dyDescent="0.25">
      <c r="AB50" s="128"/>
      <c r="AC50" s="129" t="s">
        <v>148</v>
      </c>
      <c r="AD50" s="129"/>
      <c r="AE50" s="129"/>
      <c r="AF50" s="129">
        <f>X17</f>
        <v>50</v>
      </c>
      <c r="AG50" s="130"/>
      <c r="DA50" s="246" t="s">
        <v>133</v>
      </c>
      <c r="DB50" s="246" t="s">
        <v>132</v>
      </c>
      <c r="DC50" s="246" t="s">
        <v>131</v>
      </c>
      <c r="DD50" s="247">
        <v>40</v>
      </c>
      <c r="DE50" s="247"/>
      <c r="DF50" s="247">
        <f>DD50</f>
        <v>40</v>
      </c>
    </row>
    <row r="51" spans="28:110" ht="15.75" x14ac:dyDescent="0.25">
      <c r="AB51" s="171"/>
      <c r="AC51" s="134" t="s">
        <v>199</v>
      </c>
      <c r="AD51" s="129"/>
      <c r="AE51" s="129"/>
      <c r="AF51" s="152">
        <f>SUM(AF46:AF50)</f>
        <v>9550</v>
      </c>
      <c r="AG51" s="130"/>
      <c r="DA51" s="67" t="s">
        <v>133</v>
      </c>
      <c r="DB51" s="67" t="s">
        <v>207</v>
      </c>
      <c r="DC51" s="67" t="s">
        <v>209</v>
      </c>
      <c r="DD51" s="59"/>
      <c r="DE51" s="59">
        <f>R13</f>
        <v>40</v>
      </c>
      <c r="DF51" s="137">
        <f>DF50+DD51-DE51</f>
        <v>0</v>
      </c>
    </row>
    <row r="52" spans="28:110" x14ac:dyDescent="0.25">
      <c r="AB52" s="171"/>
      <c r="AC52" s="129"/>
      <c r="AD52" s="129"/>
      <c r="AE52" s="129"/>
      <c r="AF52" s="129"/>
      <c r="AG52" s="130"/>
      <c r="DA52" s="183"/>
      <c r="DB52" s="184"/>
      <c r="DC52" s="185"/>
      <c r="DD52" s="124">
        <f>SUM(DD50:DD51)</f>
        <v>40</v>
      </c>
      <c r="DE52" s="124">
        <f>SUM(DE50:DE51)</f>
        <v>40</v>
      </c>
      <c r="DF52" s="137">
        <f>DF51+DD52-DE52</f>
        <v>0</v>
      </c>
    </row>
    <row r="53" spans="28:110" ht="15.75" x14ac:dyDescent="0.25">
      <c r="AB53" s="170" t="s">
        <v>177</v>
      </c>
      <c r="AC53" s="190"/>
      <c r="AD53" s="190"/>
      <c r="AE53" s="190"/>
      <c r="AF53" s="190"/>
      <c r="AG53" s="191"/>
    </row>
    <row r="54" spans="28:110" ht="21" x14ac:dyDescent="0.35">
      <c r="AB54" s="128" t="s">
        <v>204</v>
      </c>
      <c r="AC54" s="129"/>
      <c r="AD54" s="129"/>
      <c r="AE54" s="129"/>
      <c r="AF54" s="129"/>
      <c r="AG54" s="130"/>
      <c r="DA54" s="177" t="s">
        <v>113</v>
      </c>
      <c r="DB54" s="178"/>
      <c r="DC54" s="178"/>
      <c r="DD54" s="178"/>
      <c r="DE54" s="178"/>
      <c r="DF54" s="179"/>
    </row>
    <row r="55" spans="28:110" ht="21" x14ac:dyDescent="0.35">
      <c r="AB55" s="128" t="s">
        <v>205</v>
      </c>
      <c r="AC55" s="129"/>
      <c r="AD55" s="129"/>
      <c r="AE55" s="129"/>
      <c r="AF55" s="129">
        <f>AF31</f>
        <v>-2050</v>
      </c>
      <c r="AG55" s="130"/>
      <c r="DA55" s="180" t="s">
        <v>134</v>
      </c>
      <c r="DB55" s="181"/>
      <c r="DC55" s="181"/>
      <c r="DD55" s="181"/>
      <c r="DE55" s="181"/>
      <c r="DF55" s="182"/>
    </row>
    <row r="56" spans="28:110" ht="18.75" x14ac:dyDescent="0.3">
      <c r="AB56" s="128"/>
      <c r="AC56" s="129"/>
      <c r="AD56" s="129"/>
      <c r="AE56" s="129"/>
      <c r="AF56" s="129"/>
      <c r="AG56" s="130"/>
      <c r="DA56" s="125" t="s">
        <v>56</v>
      </c>
      <c r="DB56" s="126" t="s">
        <v>87</v>
      </c>
      <c r="DC56" s="125" t="s">
        <v>65</v>
      </c>
      <c r="DD56" s="125" t="s">
        <v>106</v>
      </c>
      <c r="DE56" s="125" t="s">
        <v>107</v>
      </c>
      <c r="DF56" s="125" t="s">
        <v>88</v>
      </c>
    </row>
    <row r="57" spans="28:110" ht="19.5" thickBot="1" x14ac:dyDescent="0.35">
      <c r="AB57" s="128" t="s">
        <v>206</v>
      </c>
      <c r="AC57" s="129"/>
      <c r="AD57" s="129"/>
      <c r="AE57" s="129"/>
      <c r="AF57" s="150">
        <f>AF51+AF55</f>
        <v>7500</v>
      </c>
      <c r="AG57" s="130"/>
      <c r="DA57" s="246" t="s">
        <v>133</v>
      </c>
      <c r="DB57" s="246" t="s">
        <v>132</v>
      </c>
      <c r="DC57" s="246" t="s">
        <v>131</v>
      </c>
      <c r="DD57" s="247">
        <v>1500</v>
      </c>
      <c r="DE57" s="245"/>
      <c r="DF57" s="245">
        <f>DD57</f>
        <v>1500</v>
      </c>
    </row>
    <row r="58" spans="28:110" ht="15.75" thickTop="1" x14ac:dyDescent="0.25">
      <c r="AB58" s="128"/>
      <c r="AC58" s="129"/>
      <c r="AD58" s="129"/>
      <c r="AE58" s="129"/>
      <c r="AF58" s="129"/>
      <c r="AG58" s="130"/>
      <c r="DA58" s="67" t="s">
        <v>133</v>
      </c>
      <c r="DB58" s="67" t="s">
        <v>207</v>
      </c>
      <c r="DC58" s="67" t="s">
        <v>209</v>
      </c>
      <c r="DD58" s="68"/>
      <c r="DE58" s="68">
        <f>R12</f>
        <v>1500</v>
      </c>
      <c r="DF58" s="248">
        <f>DF57+DD58-DE58</f>
        <v>0</v>
      </c>
    </row>
    <row r="59" spans="28:110" x14ac:dyDescent="0.25">
      <c r="AB59" s="138"/>
      <c r="AC59" s="139"/>
      <c r="AD59" s="139"/>
      <c r="AE59" s="139"/>
      <c r="AF59" s="139"/>
      <c r="AG59" s="146"/>
      <c r="DA59" s="138"/>
      <c r="DB59" s="139"/>
      <c r="DC59" s="139"/>
      <c r="DD59" s="140">
        <f>SUM(DD57:DD58)</f>
        <v>1500</v>
      </c>
      <c r="DE59" s="124">
        <f>SUM(DE57:DE58)</f>
        <v>1500</v>
      </c>
      <c r="DF59" s="141">
        <f>DF58</f>
        <v>0</v>
      </c>
    </row>
  </sheetData>
  <mergeCells count="68">
    <mergeCell ref="N4:Q4"/>
    <mergeCell ref="N27:R27"/>
    <mergeCell ref="CT13:CY13"/>
    <mergeCell ref="CT14:CY14"/>
    <mergeCell ref="CT20:CV20"/>
    <mergeCell ref="AB35:AG35"/>
    <mergeCell ref="AB36:AG36"/>
    <mergeCell ref="DA26:DF26"/>
    <mergeCell ref="DA31:DC31"/>
    <mergeCell ref="H34:L34"/>
    <mergeCell ref="AB34:AF34"/>
    <mergeCell ref="AB21:AG21"/>
    <mergeCell ref="AB22:AF22"/>
    <mergeCell ref="AB23:AG23"/>
    <mergeCell ref="BR23:BT23"/>
    <mergeCell ref="DA23:DC23"/>
    <mergeCell ref="DA25:DF25"/>
    <mergeCell ref="AP18:AU18"/>
    <mergeCell ref="BR18:BW18"/>
    <mergeCell ref="DA18:DF18"/>
    <mergeCell ref="AP19:AU19"/>
    <mergeCell ref="BR19:BW19"/>
    <mergeCell ref="DA19:DF19"/>
    <mergeCell ref="AW12:BB12"/>
    <mergeCell ref="BR12:BW12"/>
    <mergeCell ref="DA12:DF12"/>
    <mergeCell ref="DA16:DC16"/>
    <mergeCell ref="AD17:AE17"/>
    <mergeCell ref="CF9:CH9"/>
    <mergeCell ref="CM9:CO9"/>
    <mergeCell ref="DA9:DC9"/>
    <mergeCell ref="CT11:CV11"/>
    <mergeCell ref="AW11:BB11"/>
    <mergeCell ref="BR11:BW11"/>
    <mergeCell ref="DA11:DF11"/>
    <mergeCell ref="BY5:CD5"/>
    <mergeCell ref="CF5:CK5"/>
    <mergeCell ref="CM5:CR5"/>
    <mergeCell ref="CT5:CY5"/>
    <mergeCell ref="DA5:DF5"/>
    <mergeCell ref="T6:Y6"/>
    <mergeCell ref="AB6:AG6"/>
    <mergeCell ref="CT4:CY4"/>
    <mergeCell ref="DA4:DF4"/>
    <mergeCell ref="T5:Y5"/>
    <mergeCell ref="AB5:AG5"/>
    <mergeCell ref="AI5:AN5"/>
    <mergeCell ref="AP5:AU5"/>
    <mergeCell ref="AW5:BB5"/>
    <mergeCell ref="BD5:BI5"/>
    <mergeCell ref="BK5:BP5"/>
    <mergeCell ref="BR5:BW5"/>
    <mergeCell ref="BD4:BI4"/>
    <mergeCell ref="BK4:BP4"/>
    <mergeCell ref="BR4:BW4"/>
    <mergeCell ref="BY4:CD4"/>
    <mergeCell ref="CF4:CK4"/>
    <mergeCell ref="CM4:CR4"/>
    <mergeCell ref="AI2:BI2"/>
    <mergeCell ref="BK2:CD2"/>
    <mergeCell ref="CF2:DG2"/>
    <mergeCell ref="B4:E4"/>
    <mergeCell ref="H4:K4"/>
    <mergeCell ref="T4:Y4"/>
    <mergeCell ref="AB4:AG4"/>
    <mergeCell ref="AI4:AN4"/>
    <mergeCell ref="AP4:AU4"/>
    <mergeCell ref="AW4:B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A54"/>
  <sheetViews>
    <sheetView topLeftCell="AH1" zoomScale="106" zoomScaleNormal="106" workbookViewId="0">
      <selection activeCell="AH12" sqref="AH12"/>
    </sheetView>
  </sheetViews>
  <sheetFormatPr defaultRowHeight="15" x14ac:dyDescent="0.25"/>
  <cols>
    <col min="1" max="1" width="1.85546875" style="1" customWidth="1"/>
    <col min="2" max="2" width="38.5703125" style="1" bestFit="1" customWidth="1"/>
    <col min="3" max="3" width="3.140625" style="1" customWidth="1"/>
    <col min="4" max="4" width="14.5703125" style="1" bestFit="1" customWidth="1"/>
    <col min="5" max="5" width="3.7109375" style="1" customWidth="1"/>
    <col min="6" max="6" width="14.5703125" style="1" bestFit="1" customWidth="1"/>
    <col min="7" max="7" width="2" style="1" customWidth="1"/>
    <col min="8" max="8" width="3.140625" style="1" customWidth="1"/>
    <col min="9" max="9" width="13" style="1" bestFit="1" customWidth="1"/>
    <col min="10" max="10" width="1.85546875" style="1" customWidth="1"/>
    <col min="11" max="11" width="3.140625" style="1" customWidth="1"/>
    <col min="12" max="12" width="13" style="1" bestFit="1" customWidth="1"/>
    <col min="13" max="13" width="4.28515625" style="1" customWidth="1"/>
    <col min="14" max="14" width="10.5703125" style="1" bestFit="1" customWidth="1"/>
    <col min="15" max="15" width="3.42578125" style="1" customWidth="1"/>
    <col min="16" max="16" width="11.7109375" style="1" customWidth="1"/>
    <col min="17" max="17" width="2.85546875" style="1" customWidth="1"/>
    <col min="18" max="18" width="10.85546875" style="1" bestFit="1" customWidth="1"/>
    <col min="19" max="19" width="2.85546875" style="1" customWidth="1"/>
    <col min="20" max="20" width="10.85546875" style="1" customWidth="1"/>
    <col min="21" max="21" width="3.28515625" style="1" customWidth="1"/>
    <col min="22" max="22" width="10.85546875" style="1" customWidth="1"/>
    <col min="23" max="23" width="3.140625" style="1" customWidth="1"/>
    <col min="24" max="24" width="10.85546875" style="1" bestFit="1" customWidth="1"/>
    <col min="25" max="25" width="3.140625" style="1" customWidth="1"/>
    <col min="26" max="26" width="11.85546875" style="1" bestFit="1" customWidth="1"/>
    <col min="27" max="27" width="37.85546875" style="1" customWidth="1"/>
    <col min="28" max="28" width="7.140625" style="1" bestFit="1" customWidth="1"/>
    <col min="29" max="29" width="8" style="1" bestFit="1" customWidth="1"/>
    <col min="30" max="30" width="8.28515625" style="1" bestFit="1" customWidth="1"/>
    <col min="31" max="31" width="3.7109375" style="1" customWidth="1"/>
    <col min="32" max="32" width="4.140625" style="1" customWidth="1"/>
    <col min="33" max="33" width="9.140625" style="1"/>
    <col min="34" max="34" width="26.42578125" style="1" bestFit="1" customWidth="1"/>
    <col min="35" max="35" width="11.5703125" style="1" customWidth="1"/>
    <col min="36" max="36" width="1.5703125" style="1" customWidth="1"/>
    <col min="37" max="37" width="12.5703125" style="1" bestFit="1" customWidth="1"/>
    <col min="38" max="38" width="3" style="1" customWidth="1"/>
    <col min="39" max="39" width="3.140625" style="1" customWidth="1"/>
    <col min="40" max="40" width="11.42578125" style="1" bestFit="1" customWidth="1"/>
    <col min="41" max="41" width="14.7109375" style="1" bestFit="1" customWidth="1"/>
    <col min="42" max="42" width="9.140625" style="1"/>
    <col min="43" max="43" width="9.42578125" style="1" bestFit="1" customWidth="1"/>
    <col min="44" max="44" width="10.85546875" style="1" bestFit="1" customWidth="1"/>
    <col min="45" max="45" width="10.140625" style="1" bestFit="1" customWidth="1"/>
    <col min="46" max="49" width="9.140625" style="1"/>
    <col min="50" max="50" width="10" style="1" bestFit="1" customWidth="1"/>
    <col min="51" max="51" width="3.5703125" style="1" customWidth="1"/>
    <col min="52" max="53" width="12.5703125" style="1" bestFit="1" customWidth="1"/>
    <col min="54" max="16384" width="9.140625" style="1"/>
  </cols>
  <sheetData>
    <row r="2" spans="2:53" ht="26.25" x14ac:dyDescent="0.4">
      <c r="B2" s="242" t="s">
        <v>150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Z2" s="209" t="s">
        <v>55</v>
      </c>
      <c r="AA2" s="210"/>
      <c r="AB2" s="210"/>
      <c r="AC2" s="210"/>
      <c r="AD2" s="61" t="s">
        <v>110</v>
      </c>
      <c r="AF2" s="192" t="s">
        <v>22</v>
      </c>
      <c r="AG2" s="193"/>
      <c r="AH2" s="193"/>
      <c r="AI2" s="193"/>
      <c r="AJ2" s="193"/>
      <c r="AK2" s="193"/>
      <c r="AL2" s="194"/>
      <c r="AN2" s="205" t="s">
        <v>3</v>
      </c>
      <c r="AO2" s="206"/>
      <c r="AP2" s="206"/>
      <c r="AQ2" s="206"/>
      <c r="AR2" s="206"/>
      <c r="AS2" s="206"/>
    </row>
    <row r="3" spans="2:53" ht="21" x14ac:dyDescent="0.35">
      <c r="B3" s="79"/>
      <c r="C3" s="79"/>
      <c r="D3" s="241" t="s">
        <v>82</v>
      </c>
      <c r="E3" s="241"/>
      <c r="F3" s="241"/>
      <c r="G3" s="96"/>
      <c r="H3" s="79"/>
      <c r="I3" s="241" t="s">
        <v>153</v>
      </c>
      <c r="J3" s="241"/>
      <c r="K3" s="241"/>
      <c r="L3" s="241"/>
      <c r="M3" s="79"/>
      <c r="N3" s="241" t="s">
        <v>155</v>
      </c>
      <c r="O3" s="241"/>
      <c r="P3" s="241"/>
      <c r="Q3" s="79"/>
      <c r="R3" s="241" t="s">
        <v>23</v>
      </c>
      <c r="S3" s="241"/>
      <c r="T3" s="241"/>
      <c r="U3" s="79"/>
      <c r="V3" s="241" t="s">
        <v>40</v>
      </c>
      <c r="W3" s="241"/>
      <c r="X3" s="241"/>
      <c r="Z3" s="47" t="s">
        <v>56</v>
      </c>
      <c r="AA3" s="47" t="s">
        <v>57</v>
      </c>
      <c r="AB3" s="47" t="s">
        <v>65</v>
      </c>
      <c r="AC3" s="47" t="s">
        <v>58</v>
      </c>
      <c r="AD3" s="47" t="s">
        <v>59</v>
      </c>
      <c r="AF3" s="199" t="s">
        <v>23</v>
      </c>
      <c r="AG3" s="200"/>
      <c r="AH3" s="200"/>
      <c r="AI3" s="200"/>
      <c r="AJ3" s="200"/>
      <c r="AK3" s="200"/>
      <c r="AL3" s="201"/>
      <c r="AN3" s="207" t="s">
        <v>141</v>
      </c>
      <c r="AO3" s="208"/>
      <c r="AP3" s="208"/>
      <c r="AQ3" s="208"/>
      <c r="AR3" s="208"/>
      <c r="AS3" s="208"/>
    </row>
    <row r="4" spans="2:53" ht="19.5" thickBot="1" x14ac:dyDescent="0.35">
      <c r="B4" s="82" t="s">
        <v>154</v>
      </c>
      <c r="C4" s="79"/>
      <c r="D4" s="80" t="s">
        <v>151</v>
      </c>
      <c r="E4" s="81"/>
      <c r="F4" s="80" t="s">
        <v>152</v>
      </c>
      <c r="G4" s="96"/>
      <c r="H4" s="81"/>
      <c r="I4" s="80" t="s">
        <v>151</v>
      </c>
      <c r="J4" s="96"/>
      <c r="K4" s="81"/>
      <c r="L4" s="80" t="s">
        <v>152</v>
      </c>
      <c r="M4" s="81"/>
      <c r="N4" s="80" t="s">
        <v>151</v>
      </c>
      <c r="O4" s="81"/>
      <c r="P4" s="80" t="s">
        <v>152</v>
      </c>
      <c r="Q4" s="79"/>
      <c r="R4" s="80" t="s">
        <v>151</v>
      </c>
      <c r="S4" s="81"/>
      <c r="T4" s="80" t="s">
        <v>152</v>
      </c>
      <c r="U4" s="79"/>
      <c r="V4" s="80" t="s">
        <v>151</v>
      </c>
      <c r="W4" s="81"/>
      <c r="X4" s="80" t="s">
        <v>152</v>
      </c>
      <c r="Z4" s="49"/>
      <c r="AA4" s="172" t="s">
        <v>207</v>
      </c>
      <c r="AB4" s="49"/>
      <c r="AC4" s="49"/>
      <c r="AD4" s="49"/>
      <c r="AF4" s="199" t="s">
        <v>31</v>
      </c>
      <c r="AG4" s="200"/>
      <c r="AH4" s="200"/>
      <c r="AI4" s="200"/>
      <c r="AJ4" s="200"/>
      <c r="AK4" s="200"/>
      <c r="AL4" s="201"/>
      <c r="AN4" s="45" t="s">
        <v>56</v>
      </c>
      <c r="AO4" s="57" t="s">
        <v>87</v>
      </c>
      <c r="AP4" s="45" t="s">
        <v>65</v>
      </c>
      <c r="AQ4" s="45" t="s">
        <v>106</v>
      </c>
      <c r="AR4" s="45" t="s">
        <v>107</v>
      </c>
      <c r="AS4" s="45" t="s">
        <v>88</v>
      </c>
    </row>
    <row r="5" spans="2:53" x14ac:dyDescent="0.25"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Z5" s="48" t="s">
        <v>156</v>
      </c>
      <c r="AA5" s="44" t="s">
        <v>157</v>
      </c>
      <c r="AB5" s="49">
        <v>400</v>
      </c>
      <c r="AC5" s="50">
        <v>10600</v>
      </c>
      <c r="AD5" s="50"/>
      <c r="AF5" s="24"/>
      <c r="AG5" s="17"/>
      <c r="AH5" s="17"/>
      <c r="AI5" s="17"/>
      <c r="AJ5" s="17"/>
      <c r="AK5" s="17"/>
      <c r="AL5" s="25"/>
      <c r="AN5" s="43" t="s">
        <v>90</v>
      </c>
      <c r="AO5" s="43"/>
      <c r="AP5" s="43" t="s">
        <v>89</v>
      </c>
      <c r="AQ5" s="58">
        <v>2500</v>
      </c>
      <c r="AR5" s="58"/>
      <c r="AS5" s="58">
        <f>AQ5</f>
        <v>2500</v>
      </c>
    </row>
    <row r="6" spans="2:53" x14ac:dyDescent="0.25">
      <c r="B6" s="94" t="s">
        <v>0</v>
      </c>
      <c r="C6" s="94"/>
      <c r="D6" s="94">
        <v>15200</v>
      </c>
      <c r="E6" s="94"/>
      <c r="F6" s="94"/>
      <c r="G6" s="94"/>
      <c r="H6" s="94"/>
      <c r="I6" s="94"/>
      <c r="J6" s="94"/>
      <c r="K6" s="94"/>
      <c r="L6" s="94"/>
      <c r="M6" s="94"/>
      <c r="N6" s="94">
        <v>15200</v>
      </c>
      <c r="O6" s="94"/>
      <c r="P6" s="94"/>
      <c r="Q6" s="94"/>
      <c r="R6" s="94"/>
      <c r="S6" s="94"/>
      <c r="T6" s="94"/>
      <c r="U6" s="94"/>
      <c r="V6" s="94">
        <v>15200</v>
      </c>
      <c r="W6" s="94"/>
      <c r="X6" s="94"/>
      <c r="Z6" s="49"/>
      <c r="AA6" s="49" t="s">
        <v>158</v>
      </c>
      <c r="AB6" s="49">
        <v>350</v>
      </c>
      <c r="AC6" s="50"/>
      <c r="AD6" s="50">
        <v>10600</v>
      </c>
      <c r="AF6" s="24"/>
      <c r="AG6" s="17" t="s">
        <v>24</v>
      </c>
      <c r="AH6" s="17"/>
      <c r="AI6" s="26"/>
      <c r="AJ6" s="26"/>
      <c r="AK6" s="26"/>
      <c r="AL6" s="25"/>
      <c r="AN6" s="67" t="s">
        <v>133</v>
      </c>
      <c r="AO6" s="67" t="s">
        <v>132</v>
      </c>
      <c r="AP6" s="67" t="s">
        <v>131</v>
      </c>
      <c r="AQ6" s="68"/>
      <c r="AR6" s="68">
        <v>1500</v>
      </c>
      <c r="AS6" s="68">
        <f>AS5+AQ6-AR6</f>
        <v>1000</v>
      </c>
    </row>
    <row r="7" spans="2:53" x14ac:dyDescent="0.25">
      <c r="B7" s="94" t="s">
        <v>3</v>
      </c>
      <c r="C7" s="94"/>
      <c r="D7" s="94">
        <v>2500</v>
      </c>
      <c r="E7" s="94"/>
      <c r="F7" s="94"/>
      <c r="G7" s="94"/>
      <c r="H7" s="94"/>
      <c r="I7" s="94"/>
      <c r="J7" s="94"/>
      <c r="K7" s="94" t="s">
        <v>185</v>
      </c>
      <c r="L7" s="94">
        <v>1500</v>
      </c>
      <c r="M7" s="94"/>
      <c r="N7" s="94">
        <v>1000</v>
      </c>
      <c r="O7" s="94"/>
      <c r="P7" s="94"/>
      <c r="Q7" s="94"/>
      <c r="R7" s="94"/>
      <c r="S7" s="94"/>
      <c r="T7" s="94"/>
      <c r="U7" s="94"/>
      <c r="V7" s="94">
        <v>1000</v>
      </c>
      <c r="W7" s="94"/>
      <c r="X7" s="94"/>
      <c r="Z7" s="49"/>
      <c r="AA7" s="49" t="s">
        <v>115</v>
      </c>
      <c r="AB7" s="49"/>
      <c r="AC7" s="50"/>
      <c r="AD7" s="50"/>
      <c r="AF7" s="24"/>
      <c r="AH7" s="17" t="s">
        <v>16</v>
      </c>
      <c r="AI7" s="26"/>
      <c r="AJ7" s="26"/>
      <c r="AK7" s="26">
        <v>10600</v>
      </c>
      <c r="AL7" s="25"/>
    </row>
    <row r="8" spans="2:53" ht="21" x14ac:dyDescent="0.35">
      <c r="B8" s="94" t="s">
        <v>70</v>
      </c>
      <c r="C8" s="94"/>
      <c r="D8" s="94">
        <v>600</v>
      </c>
      <c r="E8" s="94"/>
      <c r="F8" s="94"/>
      <c r="G8" s="94"/>
      <c r="H8" s="94"/>
      <c r="I8" s="94"/>
      <c r="J8" s="94"/>
      <c r="K8" s="94" t="s">
        <v>182</v>
      </c>
      <c r="L8" s="94">
        <v>50</v>
      </c>
      <c r="M8" s="94"/>
      <c r="N8" s="94">
        <v>550</v>
      </c>
      <c r="O8" s="94"/>
      <c r="P8" s="94"/>
      <c r="Q8" s="94"/>
      <c r="R8" s="94"/>
      <c r="S8" s="94"/>
      <c r="T8" s="94"/>
      <c r="U8" s="94"/>
      <c r="V8" s="94">
        <v>550</v>
      </c>
      <c r="W8" s="94"/>
      <c r="X8" s="94"/>
      <c r="Z8" s="49"/>
      <c r="AA8" s="49"/>
      <c r="AB8" s="49"/>
      <c r="AC8" s="50"/>
      <c r="AD8" s="50"/>
      <c r="AF8" s="24"/>
      <c r="AG8" s="17" t="s">
        <v>13</v>
      </c>
      <c r="AH8" s="17"/>
      <c r="AI8" s="26"/>
      <c r="AJ8" s="26"/>
      <c r="AK8" s="26"/>
      <c r="AL8" s="25"/>
      <c r="AN8" s="205" t="s">
        <v>118</v>
      </c>
      <c r="AO8" s="206"/>
      <c r="AP8" s="206"/>
      <c r="AQ8" s="206"/>
      <c r="AR8" s="206"/>
      <c r="AS8" s="206"/>
      <c r="AU8" s="243" t="s">
        <v>194</v>
      </c>
      <c r="AV8" s="243"/>
      <c r="AW8" s="243"/>
      <c r="AX8" s="243"/>
      <c r="AY8" s="243"/>
      <c r="AZ8" s="243"/>
      <c r="BA8" s="243"/>
    </row>
    <row r="9" spans="2:53" ht="21" x14ac:dyDescent="0.35">
      <c r="B9" s="94" t="s">
        <v>61</v>
      </c>
      <c r="C9" s="94"/>
      <c r="D9" s="94">
        <v>5000</v>
      </c>
      <c r="E9" s="94"/>
      <c r="F9" s="94"/>
      <c r="G9" s="94"/>
      <c r="H9" s="94"/>
      <c r="I9" s="94"/>
      <c r="J9" s="94"/>
      <c r="K9" s="94"/>
      <c r="L9" s="94"/>
      <c r="M9" s="94"/>
      <c r="N9" s="94">
        <v>5000</v>
      </c>
      <c r="O9" s="94"/>
      <c r="P9" s="94"/>
      <c r="Q9" s="94"/>
      <c r="R9" s="94"/>
      <c r="S9" s="94"/>
      <c r="T9" s="94"/>
      <c r="U9" s="94"/>
      <c r="V9" s="94">
        <v>5000</v>
      </c>
      <c r="W9" s="94"/>
      <c r="X9" s="94"/>
      <c r="Z9" s="49">
        <v>31</v>
      </c>
      <c r="AA9" s="49" t="s">
        <v>159</v>
      </c>
      <c r="AB9" s="49">
        <v>350</v>
      </c>
      <c r="AC9" s="50">
        <v>7740</v>
      </c>
      <c r="AD9" s="50"/>
      <c r="AF9" s="24"/>
      <c r="AH9" s="83" t="s">
        <v>25</v>
      </c>
      <c r="AI9" s="86">
        <v>5200</v>
      </c>
      <c r="AJ9" s="86"/>
      <c r="AK9" s="26"/>
      <c r="AL9" s="25"/>
      <c r="AN9" s="207" t="s">
        <v>136</v>
      </c>
      <c r="AO9" s="208"/>
      <c r="AP9" s="208"/>
      <c r="AQ9" s="208"/>
      <c r="AR9" s="208"/>
      <c r="AS9" s="208"/>
      <c r="AU9" s="244" t="s">
        <v>195</v>
      </c>
      <c r="AV9" s="244"/>
      <c r="AW9" s="244"/>
      <c r="AX9" s="244"/>
      <c r="AY9" s="244"/>
      <c r="AZ9" s="244"/>
      <c r="BA9" s="244"/>
    </row>
    <row r="10" spans="2:53" ht="18.75" x14ac:dyDescent="0.3">
      <c r="B10" s="94" t="s">
        <v>84</v>
      </c>
      <c r="C10" s="94"/>
      <c r="D10" s="94"/>
      <c r="E10" s="94"/>
      <c r="F10" s="94">
        <v>5000</v>
      </c>
      <c r="G10" s="94"/>
      <c r="H10" s="94"/>
      <c r="I10" s="94"/>
      <c r="J10" s="94"/>
      <c r="K10" s="94"/>
      <c r="L10" s="94"/>
      <c r="M10" s="94"/>
      <c r="N10" s="94"/>
      <c r="O10" s="94"/>
      <c r="P10" s="94">
        <v>5000</v>
      </c>
      <c r="Q10" s="94"/>
      <c r="R10" s="94"/>
      <c r="S10" s="94"/>
      <c r="T10" s="94"/>
      <c r="U10" s="94"/>
      <c r="V10" s="94"/>
      <c r="W10" s="94"/>
      <c r="X10" s="94">
        <v>5000</v>
      </c>
      <c r="Z10" s="49"/>
      <c r="AA10" s="49" t="s">
        <v>160</v>
      </c>
      <c r="AB10" s="49">
        <v>631</v>
      </c>
      <c r="AC10" s="50"/>
      <c r="AD10" s="50">
        <v>1500</v>
      </c>
      <c r="AF10" s="24"/>
      <c r="AH10" s="84" t="s">
        <v>170</v>
      </c>
      <c r="AI10" s="87">
        <v>1500</v>
      </c>
      <c r="AJ10" s="87"/>
      <c r="AK10" s="26"/>
      <c r="AL10" s="25"/>
      <c r="AN10" s="45" t="s">
        <v>56</v>
      </c>
      <c r="AO10" s="57" t="s">
        <v>87</v>
      </c>
      <c r="AP10" s="45" t="s">
        <v>65</v>
      </c>
      <c r="AQ10" s="45" t="s">
        <v>106</v>
      </c>
      <c r="AR10" s="45" t="s">
        <v>107</v>
      </c>
      <c r="AS10" s="45" t="s">
        <v>88</v>
      </c>
      <c r="AU10" s="45" t="s">
        <v>56</v>
      </c>
      <c r="AV10" s="45" t="s">
        <v>87</v>
      </c>
      <c r="AW10" s="45" t="s">
        <v>65</v>
      </c>
      <c r="AX10" s="45" t="s">
        <v>106</v>
      </c>
      <c r="AY10" s="45"/>
      <c r="AZ10" s="45" t="s">
        <v>107</v>
      </c>
      <c r="BA10" s="45" t="s">
        <v>88</v>
      </c>
    </row>
    <row r="11" spans="2:53" x14ac:dyDescent="0.25">
      <c r="B11" s="94" t="s">
        <v>7</v>
      </c>
      <c r="C11" s="94"/>
      <c r="D11" s="94"/>
      <c r="E11" s="94"/>
      <c r="F11" s="94">
        <v>2500</v>
      </c>
      <c r="G11" s="94"/>
      <c r="H11" s="94"/>
      <c r="I11" s="94"/>
      <c r="J11" s="94"/>
      <c r="K11" s="94"/>
      <c r="L11" s="94"/>
      <c r="M11" s="94"/>
      <c r="N11" s="94"/>
      <c r="O11" s="94"/>
      <c r="P11" s="94">
        <v>2500</v>
      </c>
      <c r="Q11" s="94"/>
      <c r="R11" s="94"/>
      <c r="S11" s="94"/>
      <c r="T11" s="94"/>
      <c r="U11" s="94"/>
      <c r="V11" s="94"/>
      <c r="W11" s="94"/>
      <c r="X11" s="94">
        <v>2500</v>
      </c>
      <c r="Z11" s="49"/>
      <c r="AA11" s="49" t="s">
        <v>161</v>
      </c>
      <c r="AB11" s="49">
        <v>711</v>
      </c>
      <c r="AC11" s="50"/>
      <c r="AD11" s="50">
        <v>40</v>
      </c>
      <c r="AF11" s="24"/>
      <c r="AH11" s="83" t="s">
        <v>18</v>
      </c>
      <c r="AI11" s="87">
        <v>900</v>
      </c>
      <c r="AJ11" s="87"/>
      <c r="AK11" s="26"/>
      <c r="AL11" s="25"/>
      <c r="AN11" s="67" t="s">
        <v>133</v>
      </c>
      <c r="AO11" s="67" t="s">
        <v>132</v>
      </c>
      <c r="AP11" s="67" t="s">
        <v>131</v>
      </c>
      <c r="AQ11" s="68">
        <v>40</v>
      </c>
      <c r="AR11" s="68"/>
      <c r="AS11" s="68">
        <f>AQ11</f>
        <v>40</v>
      </c>
      <c r="AU11" s="49"/>
      <c r="AV11" s="49"/>
      <c r="AW11" s="49">
        <v>3</v>
      </c>
      <c r="AX11" s="50">
        <v>7740</v>
      </c>
      <c r="AY11" s="50" t="s">
        <v>196</v>
      </c>
      <c r="AZ11" s="50">
        <v>10600</v>
      </c>
      <c r="BA11" s="50">
        <f>AX11-AZ11</f>
        <v>-2860</v>
      </c>
    </row>
    <row r="12" spans="2:53" x14ac:dyDescent="0.25">
      <c r="B12" s="94" t="s">
        <v>85</v>
      </c>
      <c r="C12" s="94"/>
      <c r="D12" s="94"/>
      <c r="E12" s="94"/>
      <c r="F12" s="94">
        <v>1200</v>
      </c>
      <c r="G12" s="94"/>
      <c r="H12" s="94" t="s">
        <v>183</v>
      </c>
      <c r="I12" s="94">
        <v>400</v>
      </c>
      <c r="J12" s="94"/>
      <c r="K12" s="94"/>
      <c r="L12" s="94"/>
      <c r="M12" s="94"/>
      <c r="N12" s="94"/>
      <c r="O12" s="94"/>
      <c r="P12" s="94">
        <v>800</v>
      </c>
      <c r="Q12" s="94"/>
      <c r="R12" s="94"/>
      <c r="S12" s="94"/>
      <c r="T12" s="94"/>
      <c r="U12" s="94"/>
      <c r="V12" s="94"/>
      <c r="W12" s="94"/>
      <c r="X12" s="94">
        <v>800</v>
      </c>
      <c r="Z12" s="49"/>
      <c r="AA12" s="49" t="s">
        <v>162</v>
      </c>
      <c r="AB12" s="49">
        <v>722</v>
      </c>
      <c r="AC12" s="50"/>
      <c r="AD12" s="50">
        <v>50</v>
      </c>
      <c r="AF12" s="24"/>
      <c r="AH12" s="84" t="s">
        <v>116</v>
      </c>
      <c r="AI12" s="87">
        <v>50</v>
      </c>
      <c r="AJ12" s="87"/>
      <c r="AK12" s="26"/>
      <c r="AL12" s="25"/>
      <c r="AN12" s="44"/>
      <c r="AO12" s="44"/>
      <c r="AP12" s="44"/>
      <c r="AQ12" s="59"/>
      <c r="AR12" s="59"/>
      <c r="AS12" s="59"/>
      <c r="AU12" s="67"/>
      <c r="AV12" s="67"/>
      <c r="AW12" s="114">
        <v>2</v>
      </c>
      <c r="AX12" s="115">
        <v>2860</v>
      </c>
      <c r="AY12" s="115"/>
      <c r="AZ12" s="68"/>
      <c r="BA12" s="50">
        <f>AX12+AZ12</f>
        <v>2860</v>
      </c>
    </row>
    <row r="13" spans="2:53" x14ac:dyDescent="0.25">
      <c r="B13" s="94" t="s">
        <v>74</v>
      </c>
      <c r="C13" s="94"/>
      <c r="D13" s="94"/>
      <c r="E13" s="94"/>
      <c r="F13" s="94">
        <v>10000</v>
      </c>
      <c r="G13" s="94"/>
      <c r="H13" s="94"/>
      <c r="I13" s="94"/>
      <c r="J13" s="94"/>
      <c r="K13" s="94"/>
      <c r="L13" s="94"/>
      <c r="M13" s="94"/>
      <c r="N13" s="94"/>
      <c r="O13" s="94"/>
      <c r="P13" s="94">
        <v>10000</v>
      </c>
      <c r="Q13" s="94"/>
      <c r="R13" s="94"/>
      <c r="S13" s="94"/>
      <c r="T13" s="94"/>
      <c r="U13" s="94"/>
      <c r="V13" s="94"/>
      <c r="W13" s="94"/>
      <c r="X13" s="94">
        <v>10000</v>
      </c>
      <c r="Z13" s="49"/>
      <c r="AA13" s="49" t="s">
        <v>163</v>
      </c>
      <c r="AB13" s="49">
        <v>726</v>
      </c>
      <c r="AC13" s="50"/>
      <c r="AD13" s="50">
        <v>5200</v>
      </c>
      <c r="AF13" s="24"/>
      <c r="AH13" s="85" t="s">
        <v>123</v>
      </c>
      <c r="AI13" s="86">
        <v>50</v>
      </c>
      <c r="AJ13" s="86"/>
      <c r="AK13" s="26"/>
      <c r="AL13" s="25"/>
      <c r="AU13" s="49"/>
      <c r="AV13" s="49"/>
      <c r="AW13" s="49"/>
      <c r="AX13" s="113">
        <f>SUM(AX11:AX12)</f>
        <v>10600</v>
      </c>
      <c r="AY13" s="113"/>
      <c r="AZ13" s="113">
        <f>SUM(AZ11:AZ12)</f>
        <v>10600</v>
      </c>
      <c r="BA13" s="116">
        <f>SUM(BA11:BA12)</f>
        <v>0</v>
      </c>
    </row>
    <row r="14" spans="2:53" ht="21" x14ac:dyDescent="0.35">
      <c r="B14" s="94" t="s">
        <v>75</v>
      </c>
      <c r="C14" s="94"/>
      <c r="D14" s="94">
        <v>500</v>
      </c>
      <c r="E14" s="94"/>
      <c r="F14" s="94"/>
      <c r="G14" s="94"/>
      <c r="H14" s="94"/>
      <c r="I14" s="94"/>
      <c r="J14" s="94"/>
      <c r="K14" s="94"/>
      <c r="L14" s="94"/>
      <c r="M14" s="94"/>
      <c r="N14" s="94">
        <v>500</v>
      </c>
      <c r="O14" s="94"/>
      <c r="P14" s="94"/>
      <c r="Q14" s="94"/>
      <c r="R14" s="94"/>
      <c r="S14" s="94"/>
      <c r="T14" s="94"/>
      <c r="U14" s="94"/>
      <c r="V14" s="94">
        <v>500</v>
      </c>
      <c r="W14" s="94"/>
      <c r="X14" s="94"/>
      <c r="Z14" s="49"/>
      <c r="AA14" s="49" t="s">
        <v>164</v>
      </c>
      <c r="AB14" s="49">
        <v>729</v>
      </c>
      <c r="AC14" s="50"/>
      <c r="AD14" s="50">
        <v>900</v>
      </c>
      <c r="AF14" s="24"/>
      <c r="AH14" s="85" t="s">
        <v>118</v>
      </c>
      <c r="AI14" s="87">
        <v>40</v>
      </c>
      <c r="AJ14" s="87"/>
      <c r="AK14" s="26"/>
      <c r="AL14" s="25"/>
      <c r="AN14" s="205" t="s">
        <v>116</v>
      </c>
      <c r="AO14" s="206"/>
      <c r="AP14" s="206"/>
      <c r="AQ14" s="206"/>
      <c r="AR14" s="206"/>
      <c r="AS14" s="206"/>
    </row>
    <row r="15" spans="2:53" ht="21" x14ac:dyDescent="0.35">
      <c r="B15" s="94" t="s">
        <v>86</v>
      </c>
      <c r="C15" s="94"/>
      <c r="D15" s="94"/>
      <c r="E15" s="94"/>
      <c r="F15" s="94">
        <v>10000</v>
      </c>
      <c r="G15" s="94"/>
      <c r="H15" s="94"/>
      <c r="I15" s="94"/>
      <c r="J15" s="94"/>
      <c r="K15" s="94" t="s">
        <v>183</v>
      </c>
      <c r="L15" s="94">
        <v>400</v>
      </c>
      <c r="M15" s="94"/>
      <c r="N15" s="94"/>
      <c r="O15" s="94"/>
      <c r="P15" s="95"/>
      <c r="Q15" s="94"/>
      <c r="R15" s="94"/>
      <c r="S15" s="94"/>
      <c r="T15" s="94">
        <v>10600</v>
      </c>
      <c r="U15" s="94"/>
      <c r="V15" s="94"/>
      <c r="W15" s="94"/>
      <c r="X15" s="94"/>
      <c r="Z15" s="49"/>
      <c r="AA15" s="49" t="s">
        <v>165</v>
      </c>
      <c r="AB15" s="49">
        <v>905</v>
      </c>
      <c r="AC15" s="50"/>
      <c r="AD15" s="50">
        <v>50</v>
      </c>
      <c r="AF15" s="24"/>
      <c r="AG15" s="92"/>
      <c r="AH15" s="17"/>
      <c r="AI15" s="22"/>
      <c r="AJ15" s="26"/>
      <c r="AK15" s="26"/>
      <c r="AL15" s="25"/>
      <c r="AN15" s="207" t="s">
        <v>135</v>
      </c>
      <c r="AO15" s="208"/>
      <c r="AP15" s="208"/>
      <c r="AQ15" s="208"/>
      <c r="AR15" s="208"/>
      <c r="AS15" s="208"/>
      <c r="AU15" s="243" t="s">
        <v>74</v>
      </c>
      <c r="AV15" s="243"/>
      <c r="AW15" s="243"/>
      <c r="AX15" s="243"/>
      <c r="AY15" s="243"/>
      <c r="AZ15" s="243"/>
      <c r="BA15" s="243"/>
    </row>
    <row r="16" spans="2:53" ht="21" x14ac:dyDescent="0.35">
      <c r="B16" s="95"/>
      <c r="C16" s="95"/>
      <c r="D16" s="95"/>
      <c r="E16" s="95"/>
      <c r="F16" s="95"/>
      <c r="G16" s="95"/>
      <c r="H16" s="95"/>
      <c r="I16" s="95"/>
      <c r="J16" s="95"/>
      <c r="K16" s="94" t="s">
        <v>181</v>
      </c>
      <c r="L16" s="94">
        <v>200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Z16" s="49"/>
      <c r="AA16" s="49" t="s">
        <v>166</v>
      </c>
      <c r="AB16" s="49"/>
      <c r="AC16" s="50"/>
      <c r="AD16" s="50"/>
      <c r="AF16" s="24"/>
      <c r="AH16" s="28" t="s">
        <v>27</v>
      </c>
      <c r="AI16" s="26"/>
      <c r="AJ16" s="26"/>
      <c r="AK16" s="23">
        <f>SUM(AI9:AI15)</f>
        <v>7740</v>
      </c>
      <c r="AL16" s="25"/>
      <c r="AN16" s="45" t="s">
        <v>56</v>
      </c>
      <c r="AO16" s="57" t="s">
        <v>87</v>
      </c>
      <c r="AP16" s="45" t="s">
        <v>65</v>
      </c>
      <c r="AQ16" s="45" t="s">
        <v>106</v>
      </c>
      <c r="AR16" s="45" t="s">
        <v>107</v>
      </c>
      <c r="AS16" s="45" t="s">
        <v>88</v>
      </c>
      <c r="AU16" s="244" t="s">
        <v>99</v>
      </c>
      <c r="AV16" s="244"/>
      <c r="AW16" s="244"/>
      <c r="AX16" s="244"/>
      <c r="AY16" s="244"/>
      <c r="AZ16" s="244"/>
      <c r="BA16" s="244"/>
    </row>
    <row r="17" spans="2:53" ht="19.5" thickBot="1" x14ac:dyDescent="0.35">
      <c r="B17" s="94" t="s">
        <v>77</v>
      </c>
      <c r="C17" s="94"/>
      <c r="D17" s="94">
        <v>4000</v>
      </c>
      <c r="E17" s="94"/>
      <c r="F17" s="94"/>
      <c r="G17" s="94"/>
      <c r="H17" s="94" t="s">
        <v>184</v>
      </c>
      <c r="I17" s="94">
        <v>1200</v>
      </c>
      <c r="J17" s="94"/>
      <c r="K17" s="94"/>
      <c r="L17" s="94"/>
      <c r="M17" s="94"/>
      <c r="N17" s="94">
        <v>5200</v>
      </c>
      <c r="O17" s="94"/>
      <c r="P17" s="94"/>
      <c r="Q17" s="94"/>
      <c r="R17" s="94">
        <v>5200</v>
      </c>
      <c r="S17" s="94"/>
      <c r="T17" s="94"/>
      <c r="U17" s="94"/>
      <c r="V17" s="94"/>
      <c r="W17" s="94"/>
      <c r="X17" s="94"/>
      <c r="Z17" s="49"/>
      <c r="AA17" s="49"/>
      <c r="AB17" s="49"/>
      <c r="AC17" s="50"/>
      <c r="AD17" s="50"/>
      <c r="AF17" s="24"/>
      <c r="AG17" s="28" t="s">
        <v>28</v>
      </c>
      <c r="AH17" s="17"/>
      <c r="AI17" s="26"/>
      <c r="AJ17" s="26"/>
      <c r="AK17" s="88">
        <f>AK7-AK16</f>
        <v>2860</v>
      </c>
      <c r="AL17" s="25"/>
      <c r="AN17" s="67" t="s">
        <v>133</v>
      </c>
      <c r="AO17" s="67" t="s">
        <v>132</v>
      </c>
      <c r="AP17" s="67" t="s">
        <v>131</v>
      </c>
      <c r="AQ17" s="68">
        <v>50</v>
      </c>
      <c r="AR17" s="68"/>
      <c r="AS17" s="68">
        <f>AQ17</f>
        <v>50</v>
      </c>
      <c r="AU17" s="45" t="s">
        <v>56</v>
      </c>
      <c r="AV17" s="45" t="s">
        <v>87</v>
      </c>
      <c r="AW17" s="45" t="s">
        <v>65</v>
      </c>
      <c r="AX17" s="45" t="s">
        <v>106</v>
      </c>
      <c r="AY17" s="45"/>
      <c r="AZ17" s="45" t="s">
        <v>107</v>
      </c>
      <c r="BA17" s="45" t="s">
        <v>88</v>
      </c>
    </row>
    <row r="18" spans="2:53" ht="15.75" thickTop="1" x14ac:dyDescent="0.25">
      <c r="B18" s="94" t="s">
        <v>18</v>
      </c>
      <c r="C18" s="94"/>
      <c r="D18" s="94">
        <v>900</v>
      </c>
      <c r="E18" s="94"/>
      <c r="F18" s="94"/>
      <c r="G18" s="94"/>
      <c r="H18" s="94"/>
      <c r="I18" s="94"/>
      <c r="J18" s="94"/>
      <c r="K18" s="94"/>
      <c r="L18" s="94"/>
      <c r="M18" s="94"/>
      <c r="N18" s="94">
        <v>900</v>
      </c>
      <c r="O18" s="94"/>
      <c r="P18" s="94"/>
      <c r="Q18" s="94"/>
      <c r="R18" s="94">
        <v>900</v>
      </c>
      <c r="S18" s="94"/>
      <c r="T18" s="94"/>
      <c r="U18" s="94"/>
      <c r="V18" s="94"/>
      <c r="W18" s="94"/>
      <c r="X18" s="94"/>
      <c r="Z18" s="49">
        <v>31</v>
      </c>
      <c r="AA18" s="49" t="s">
        <v>159</v>
      </c>
      <c r="AB18" s="49">
        <v>350</v>
      </c>
      <c r="AC18" s="50">
        <v>2860</v>
      </c>
      <c r="AD18" s="50"/>
      <c r="AF18" s="29"/>
      <c r="AG18" s="2"/>
      <c r="AH18" s="2"/>
      <c r="AI18" s="2"/>
      <c r="AJ18" s="2"/>
      <c r="AK18" s="2"/>
      <c r="AL18" s="5"/>
      <c r="AN18" s="44"/>
      <c r="AO18" s="44"/>
      <c r="AP18" s="44"/>
      <c r="AQ18" s="59"/>
      <c r="AR18" s="59"/>
      <c r="AS18" s="59"/>
      <c r="AU18" s="49"/>
      <c r="AV18" s="49"/>
      <c r="AW18" s="49">
        <v>3</v>
      </c>
      <c r="AX18" s="50">
        <v>500</v>
      </c>
      <c r="AY18" s="50">
        <v>-4</v>
      </c>
      <c r="AZ18" s="50">
        <v>10000</v>
      </c>
      <c r="BA18" s="50">
        <f>AX18+AZ18</f>
        <v>10500</v>
      </c>
    </row>
    <row r="19" spans="2:53" ht="19.5" thickBot="1" x14ac:dyDescent="0.35">
      <c r="B19" s="97" t="s">
        <v>178</v>
      </c>
      <c r="C19" s="94"/>
      <c r="D19" s="98">
        <f>SUM(D6:D18)</f>
        <v>28700</v>
      </c>
      <c r="E19" s="99"/>
      <c r="F19" s="98">
        <f>SUM(F6:F18)</f>
        <v>28700</v>
      </c>
      <c r="G19" s="100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Z19" s="49"/>
      <c r="AA19" s="49" t="s">
        <v>60</v>
      </c>
      <c r="AB19" s="49">
        <v>301</v>
      </c>
      <c r="AC19" s="50"/>
      <c r="AD19" s="50">
        <v>2860</v>
      </c>
      <c r="AU19" s="67"/>
      <c r="AV19" s="67"/>
      <c r="AW19" s="114"/>
      <c r="AX19" s="115"/>
      <c r="AY19" s="115"/>
      <c r="AZ19" s="68">
        <v>2860</v>
      </c>
      <c r="BA19" s="50">
        <f>BA18-AX19+AZ19</f>
        <v>13360</v>
      </c>
    </row>
    <row r="20" spans="2:53" ht="21.75" thickTop="1" x14ac:dyDescent="0.35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Z20" s="49"/>
      <c r="AA20" s="49" t="s">
        <v>167</v>
      </c>
      <c r="AB20" s="49"/>
      <c r="AC20" s="50"/>
      <c r="AD20" s="50"/>
      <c r="AF20" s="192" t="s">
        <v>22</v>
      </c>
      <c r="AG20" s="193"/>
      <c r="AH20" s="193"/>
      <c r="AI20" s="193"/>
      <c r="AJ20" s="193"/>
      <c r="AK20" s="193"/>
      <c r="AL20" s="194"/>
      <c r="AN20" s="205" t="s">
        <v>77</v>
      </c>
      <c r="AO20" s="206"/>
      <c r="AP20" s="206"/>
      <c r="AQ20" s="206"/>
      <c r="AR20" s="206"/>
      <c r="AS20" s="206"/>
      <c r="AU20" s="49"/>
      <c r="AV20" s="49"/>
      <c r="AW20" s="49"/>
      <c r="AX20" s="50">
        <f>SUM(AX18:AX19)</f>
        <v>500</v>
      </c>
      <c r="AY20" s="50"/>
      <c r="AZ20" s="50">
        <f>SUM(AZ18:AZ19)</f>
        <v>12860</v>
      </c>
      <c r="BA20" s="50">
        <f>SUM(BA18:BA19)</f>
        <v>23860</v>
      </c>
    </row>
    <row r="21" spans="2:53" ht="21" x14ac:dyDescent="0.35">
      <c r="B21" s="94" t="s">
        <v>113</v>
      </c>
      <c r="C21" s="94"/>
      <c r="D21" s="94"/>
      <c r="E21" s="94"/>
      <c r="F21" s="94"/>
      <c r="G21" s="94"/>
      <c r="H21" s="94" t="s">
        <v>185</v>
      </c>
      <c r="I21" s="94">
        <v>1500</v>
      </c>
      <c r="J21" s="94"/>
      <c r="K21" s="94"/>
      <c r="L21" s="94"/>
      <c r="M21" s="94"/>
      <c r="N21" s="94">
        <v>1500</v>
      </c>
      <c r="O21" s="94"/>
      <c r="P21" s="94"/>
      <c r="Q21" s="94"/>
      <c r="R21" s="94">
        <v>1500</v>
      </c>
      <c r="S21" s="94"/>
      <c r="T21" s="94"/>
      <c r="U21" s="94"/>
      <c r="V21" s="94"/>
      <c r="W21" s="94"/>
      <c r="X21" s="94"/>
      <c r="Z21" s="49"/>
      <c r="AA21" s="49"/>
      <c r="AB21" s="49"/>
      <c r="AC21" s="50"/>
      <c r="AD21" s="50"/>
      <c r="AF21" s="199" t="s">
        <v>29</v>
      </c>
      <c r="AG21" s="200"/>
      <c r="AH21" s="200"/>
      <c r="AI21" s="200"/>
      <c r="AJ21" s="200"/>
      <c r="AK21" s="200"/>
      <c r="AL21" s="201"/>
      <c r="AN21" s="207" t="s">
        <v>144</v>
      </c>
      <c r="AO21" s="208"/>
      <c r="AP21" s="208"/>
      <c r="AQ21" s="208"/>
      <c r="AR21" s="208"/>
      <c r="AS21" s="208"/>
    </row>
    <row r="22" spans="2:53" ht="18.75" x14ac:dyDescent="0.3">
      <c r="B22" s="94" t="s">
        <v>116</v>
      </c>
      <c r="C22" s="94"/>
      <c r="D22" s="94"/>
      <c r="E22" s="94"/>
      <c r="F22" s="94"/>
      <c r="G22" s="94"/>
      <c r="H22" s="94" t="s">
        <v>182</v>
      </c>
      <c r="I22" s="94">
        <v>50</v>
      </c>
      <c r="J22" s="94"/>
      <c r="K22" s="94"/>
      <c r="L22" s="94"/>
      <c r="M22" s="94"/>
      <c r="N22" s="94">
        <v>50</v>
      </c>
      <c r="O22" s="94"/>
      <c r="P22" s="94"/>
      <c r="Q22" s="94"/>
      <c r="R22" s="94">
        <v>50</v>
      </c>
      <c r="S22" s="94"/>
      <c r="T22" s="94"/>
      <c r="U22" s="94"/>
      <c r="V22" s="94"/>
      <c r="W22" s="94"/>
      <c r="X22" s="94"/>
      <c r="Z22" s="49">
        <v>31</v>
      </c>
      <c r="AA22" s="49" t="s">
        <v>74</v>
      </c>
      <c r="AB22" s="49">
        <v>301</v>
      </c>
      <c r="AC22" s="50">
        <v>500</v>
      </c>
      <c r="AD22" s="50"/>
      <c r="AF22" s="199" t="s">
        <v>30</v>
      </c>
      <c r="AG22" s="200"/>
      <c r="AH22" s="200"/>
      <c r="AI22" s="200"/>
      <c r="AJ22" s="200"/>
      <c r="AK22" s="200"/>
      <c r="AL22" s="201"/>
      <c r="AN22" s="45" t="s">
        <v>56</v>
      </c>
      <c r="AO22" s="57" t="s">
        <v>87</v>
      </c>
      <c r="AP22" s="45" t="s">
        <v>65</v>
      </c>
      <c r="AQ22" s="45" t="s">
        <v>106</v>
      </c>
      <c r="AR22" s="45" t="s">
        <v>107</v>
      </c>
      <c r="AS22" s="45" t="s">
        <v>88</v>
      </c>
    </row>
    <row r="23" spans="2:53" x14ac:dyDescent="0.25">
      <c r="B23" s="94" t="s">
        <v>179</v>
      </c>
      <c r="C23" s="94"/>
      <c r="D23" s="94"/>
      <c r="E23" s="94"/>
      <c r="F23" s="94"/>
      <c r="G23" s="94"/>
      <c r="H23" s="94"/>
      <c r="I23" s="94"/>
      <c r="J23" s="94"/>
      <c r="K23" s="94" t="s">
        <v>186</v>
      </c>
      <c r="L23" s="94">
        <v>40</v>
      </c>
      <c r="M23" s="94"/>
      <c r="N23" s="94"/>
      <c r="O23" s="94"/>
      <c r="P23" s="94">
        <v>40</v>
      </c>
      <c r="Q23" s="94"/>
      <c r="R23" s="94"/>
      <c r="S23" s="94"/>
      <c r="T23" s="94"/>
      <c r="U23" s="94"/>
      <c r="V23" s="94"/>
      <c r="W23" s="94"/>
      <c r="X23" s="94">
        <v>40</v>
      </c>
      <c r="Z23" s="49"/>
      <c r="AA23" s="49" t="s">
        <v>169</v>
      </c>
      <c r="AB23" s="49">
        <v>306</v>
      </c>
      <c r="AC23" s="50"/>
      <c r="AD23" s="50">
        <v>500</v>
      </c>
      <c r="AF23" s="24"/>
      <c r="AG23" s="17"/>
      <c r="AH23" s="17"/>
      <c r="AI23" s="17"/>
      <c r="AJ23" s="17"/>
      <c r="AK23" s="17"/>
      <c r="AL23" s="25"/>
      <c r="AN23" s="67" t="s">
        <v>133</v>
      </c>
      <c r="AO23" s="67" t="s">
        <v>132</v>
      </c>
      <c r="AP23" s="67" t="s">
        <v>131</v>
      </c>
      <c r="AQ23" s="68"/>
      <c r="AR23" s="68">
        <v>1200</v>
      </c>
      <c r="AS23" s="68">
        <f>AR23</f>
        <v>1200</v>
      </c>
    </row>
    <row r="24" spans="2:53" x14ac:dyDescent="0.25">
      <c r="B24" s="94" t="s">
        <v>180</v>
      </c>
      <c r="C24" s="94"/>
      <c r="D24" s="94"/>
      <c r="E24" s="94"/>
      <c r="F24" s="94"/>
      <c r="G24" s="94"/>
      <c r="H24" s="94" t="s">
        <v>186</v>
      </c>
      <c r="I24" s="94">
        <v>40</v>
      </c>
      <c r="J24" s="94"/>
      <c r="K24" s="94"/>
      <c r="L24" s="94"/>
      <c r="M24" s="94"/>
      <c r="N24" s="94">
        <v>40</v>
      </c>
      <c r="O24" s="94"/>
      <c r="P24" s="94"/>
      <c r="Q24" s="94"/>
      <c r="R24" s="94">
        <v>40</v>
      </c>
      <c r="S24" s="94"/>
      <c r="T24" s="94"/>
      <c r="U24" s="94"/>
      <c r="V24" s="94"/>
      <c r="W24" s="94"/>
      <c r="X24" s="94"/>
      <c r="Z24" s="49"/>
      <c r="AA24" s="49" t="s">
        <v>168</v>
      </c>
      <c r="AB24" s="49"/>
      <c r="AC24" s="50"/>
      <c r="AD24" s="50"/>
      <c r="AF24" s="24"/>
      <c r="AG24" s="17" t="s">
        <v>32</v>
      </c>
      <c r="AH24" s="17"/>
      <c r="AI24" s="26"/>
      <c r="AJ24" s="26"/>
      <c r="AK24" s="86">
        <v>0</v>
      </c>
      <c r="AL24" s="107"/>
      <c r="AN24" s="67"/>
      <c r="AO24" s="67"/>
      <c r="AP24" s="67"/>
      <c r="AQ24" s="68"/>
      <c r="AR24" s="68"/>
      <c r="AS24" s="68"/>
    </row>
    <row r="25" spans="2:53" x14ac:dyDescent="0.25">
      <c r="B25" s="94" t="s">
        <v>2</v>
      </c>
      <c r="C25" s="94"/>
      <c r="D25" s="94"/>
      <c r="E25" s="94"/>
      <c r="F25" s="94"/>
      <c r="G25" s="94"/>
      <c r="H25" s="94" t="s">
        <v>181</v>
      </c>
      <c r="I25" s="94">
        <v>200</v>
      </c>
      <c r="J25" s="94"/>
      <c r="K25" s="94"/>
      <c r="L25" s="94"/>
      <c r="M25" s="94"/>
      <c r="N25" s="94">
        <v>200</v>
      </c>
      <c r="O25" s="94"/>
      <c r="P25" s="94"/>
      <c r="Q25" s="94"/>
      <c r="R25" s="94"/>
      <c r="S25" s="94"/>
      <c r="T25" s="94"/>
      <c r="U25" s="94"/>
      <c r="V25" s="94">
        <v>200</v>
      </c>
      <c r="W25" s="94"/>
      <c r="X25" s="94"/>
      <c r="Z25" s="236"/>
      <c r="AA25" s="237"/>
      <c r="AB25" s="237"/>
      <c r="AC25" s="237"/>
      <c r="AD25" s="238"/>
      <c r="AF25" s="24"/>
      <c r="AG25" s="17" t="s">
        <v>171</v>
      </c>
      <c r="AH25" s="17"/>
      <c r="AI25" s="26">
        <v>10000</v>
      </c>
      <c r="AJ25" s="26"/>
      <c r="AK25" s="26"/>
      <c r="AL25" s="107"/>
    </row>
    <row r="26" spans="2:53" ht="21" x14ac:dyDescent="0.35">
      <c r="B26" s="94" t="s">
        <v>123</v>
      </c>
      <c r="C26" s="94"/>
      <c r="D26" s="94"/>
      <c r="E26" s="94"/>
      <c r="F26" s="94"/>
      <c r="G26" s="94"/>
      <c r="H26" s="94" t="s">
        <v>187</v>
      </c>
      <c r="I26" s="94">
        <v>50</v>
      </c>
      <c r="J26" s="94"/>
      <c r="K26" s="94"/>
      <c r="L26" s="94"/>
      <c r="M26" s="94"/>
      <c r="N26" s="94">
        <v>50</v>
      </c>
      <c r="O26" s="94"/>
      <c r="P26" s="94"/>
      <c r="Q26" s="94"/>
      <c r="R26" s="94">
        <v>50</v>
      </c>
      <c r="S26" s="94"/>
      <c r="T26" s="94"/>
      <c r="U26" s="94"/>
      <c r="V26" s="94"/>
      <c r="W26" s="94"/>
      <c r="X26" s="94"/>
      <c r="AC26" s="51">
        <f>SUM(AC5:AC25)</f>
        <v>21700</v>
      </c>
      <c r="AD26" s="51">
        <f>SUM(AD5:AD25)</f>
        <v>21700</v>
      </c>
      <c r="AF26" s="24"/>
      <c r="AG26" s="17" t="s">
        <v>188</v>
      </c>
      <c r="AH26" s="17"/>
      <c r="AI26" s="26">
        <v>2860</v>
      </c>
      <c r="AJ26" s="26"/>
      <c r="AK26" s="23">
        <f>AI25+AI26</f>
        <v>12860</v>
      </c>
      <c r="AL26" s="107"/>
      <c r="AN26" s="205" t="s">
        <v>18</v>
      </c>
      <c r="AO26" s="206"/>
      <c r="AP26" s="206"/>
      <c r="AQ26" s="206"/>
      <c r="AR26" s="206"/>
      <c r="AS26" s="206"/>
    </row>
    <row r="27" spans="2:53" ht="21" x14ac:dyDescent="0.35">
      <c r="B27" s="94" t="s">
        <v>148</v>
      </c>
      <c r="C27" s="94"/>
      <c r="D27" s="94"/>
      <c r="E27" s="94"/>
      <c r="F27" s="94"/>
      <c r="G27" s="94"/>
      <c r="H27" s="94"/>
      <c r="I27" s="94"/>
      <c r="J27" s="94"/>
      <c r="K27" s="94" t="s">
        <v>187</v>
      </c>
      <c r="L27" s="94">
        <v>50</v>
      </c>
      <c r="M27" s="94"/>
      <c r="N27" s="94"/>
      <c r="O27" s="94"/>
      <c r="P27" s="94">
        <v>50</v>
      </c>
      <c r="Q27" s="94"/>
      <c r="R27" s="94"/>
      <c r="S27" s="94"/>
      <c r="T27" s="94"/>
      <c r="U27" s="94"/>
      <c r="V27" s="94"/>
      <c r="W27" s="94"/>
      <c r="X27" s="94">
        <v>50</v>
      </c>
      <c r="AF27" s="24"/>
      <c r="AG27" s="17"/>
      <c r="AH27" s="17"/>
      <c r="AI27" s="22"/>
      <c r="AJ27" s="26"/>
      <c r="AK27" s="26">
        <f>AK26</f>
        <v>12860</v>
      </c>
      <c r="AL27" s="107"/>
      <c r="AN27" s="207" t="s">
        <v>104</v>
      </c>
      <c r="AO27" s="208"/>
      <c r="AP27" s="208"/>
      <c r="AQ27" s="208"/>
      <c r="AR27" s="208"/>
      <c r="AS27" s="208"/>
    </row>
    <row r="28" spans="2:53" ht="18.75" x14ac:dyDescent="0.3">
      <c r="B28" s="94" t="s">
        <v>147</v>
      </c>
      <c r="C28" s="94"/>
      <c r="D28" s="94"/>
      <c r="E28" s="94"/>
      <c r="F28" s="94"/>
      <c r="G28" s="94"/>
      <c r="H28" s="94"/>
      <c r="I28" s="94"/>
      <c r="J28" s="94"/>
      <c r="K28" s="94" t="s">
        <v>184</v>
      </c>
      <c r="L28" s="94">
        <v>1200</v>
      </c>
      <c r="M28" s="94"/>
      <c r="N28" s="94"/>
      <c r="O28" s="94"/>
      <c r="P28" s="94">
        <v>1200</v>
      </c>
      <c r="Q28" s="94"/>
      <c r="R28" s="94"/>
      <c r="S28" s="94"/>
      <c r="T28" s="94"/>
      <c r="U28" s="94"/>
      <c r="V28" s="94"/>
      <c r="W28" s="94"/>
      <c r="X28" s="94">
        <v>1200</v>
      </c>
      <c r="AF28" s="24"/>
      <c r="AG28" s="17" t="s">
        <v>189</v>
      </c>
      <c r="AH28" s="17"/>
      <c r="AI28" s="26"/>
      <c r="AJ28" s="26"/>
      <c r="AK28" s="26">
        <v>500</v>
      </c>
      <c r="AL28" s="107"/>
      <c r="AN28" s="45" t="s">
        <v>56</v>
      </c>
      <c r="AO28" s="57" t="s">
        <v>87</v>
      </c>
      <c r="AP28" s="45" t="s">
        <v>65</v>
      </c>
      <c r="AQ28" s="45" t="s">
        <v>106</v>
      </c>
      <c r="AR28" s="45" t="s">
        <v>107</v>
      </c>
      <c r="AS28" s="45" t="s">
        <v>88</v>
      </c>
    </row>
    <row r="29" spans="2:53" ht="19.5" thickBot="1" x14ac:dyDescent="0.35">
      <c r="B29" s="97" t="s">
        <v>178</v>
      </c>
      <c r="C29" s="94"/>
      <c r="D29" s="94"/>
      <c r="E29" s="94"/>
      <c r="F29" s="94"/>
      <c r="G29" s="94"/>
      <c r="H29" s="94"/>
      <c r="I29" s="101">
        <f>SUM(I5:I28)</f>
        <v>3440</v>
      </c>
      <c r="J29" s="102"/>
      <c r="K29" s="103"/>
      <c r="L29" s="101">
        <f>SUM(L5:L28)</f>
        <v>3440</v>
      </c>
      <c r="M29" s="94"/>
      <c r="N29" s="101">
        <f>SUM(N5:N28)</f>
        <v>30190</v>
      </c>
      <c r="O29" s="94"/>
      <c r="P29" s="101">
        <f>SUM(P5:P28)</f>
        <v>19590</v>
      </c>
      <c r="Q29" s="94"/>
      <c r="R29" s="104">
        <f>SUM(R5:R28)</f>
        <v>7740</v>
      </c>
      <c r="S29" s="94"/>
      <c r="T29" s="104">
        <f>SUM(T5:T28)</f>
        <v>10600</v>
      </c>
      <c r="U29" s="94"/>
      <c r="V29" s="104">
        <f>SUM(V5:V28)</f>
        <v>22450</v>
      </c>
      <c r="W29" s="94"/>
      <c r="X29" s="104">
        <f>SUM(X5:X28)</f>
        <v>19590</v>
      </c>
      <c r="AF29" s="24"/>
      <c r="AG29" s="17" t="s">
        <v>174</v>
      </c>
      <c r="AH29" s="17"/>
      <c r="AI29" s="26"/>
      <c r="AJ29" s="26"/>
      <c r="AK29" s="109">
        <v>12360</v>
      </c>
      <c r="AL29" s="107"/>
      <c r="AN29" s="43" t="s">
        <v>91</v>
      </c>
      <c r="AO29" s="43"/>
      <c r="AP29" s="43" t="s">
        <v>89</v>
      </c>
      <c r="AQ29" s="58">
        <v>4000</v>
      </c>
      <c r="AR29" s="58"/>
      <c r="AS29" s="58">
        <f>AQ29</f>
        <v>4000</v>
      </c>
    </row>
    <row r="30" spans="2:53" ht="15.75" thickTop="1" x14ac:dyDescent="0.25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AF30" s="29"/>
      <c r="AG30" s="2"/>
      <c r="AH30" s="2"/>
      <c r="AI30" s="23"/>
      <c r="AJ30" s="23"/>
      <c r="AK30" s="23"/>
      <c r="AL30" s="46"/>
      <c r="AN30" s="44"/>
      <c r="AO30" s="44"/>
      <c r="AP30" s="44"/>
      <c r="AQ30" s="59"/>
      <c r="AR30" s="59"/>
      <c r="AS30" s="59"/>
    </row>
    <row r="31" spans="2:53" x14ac:dyDescent="0.25"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94"/>
      <c r="N31" s="94"/>
      <c r="O31" s="94"/>
      <c r="P31" s="94"/>
      <c r="Q31" s="94"/>
      <c r="R31" s="94">
        <f>T29-R29</f>
        <v>2860</v>
      </c>
      <c r="S31" s="94"/>
      <c r="T31" s="94"/>
      <c r="U31" s="94"/>
      <c r="V31" s="94"/>
      <c r="W31" s="94"/>
      <c r="X31" s="94">
        <f>V29-X29</f>
        <v>2860</v>
      </c>
      <c r="AI31" s="108"/>
      <c r="AJ31" s="108"/>
      <c r="AK31" s="108"/>
      <c r="AL31" s="108"/>
    </row>
    <row r="32" spans="2:53" ht="21.75" thickBot="1" x14ac:dyDescent="0.4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94"/>
      <c r="N32" s="94"/>
      <c r="O32" s="94"/>
      <c r="P32" s="94"/>
      <c r="Q32" s="94"/>
      <c r="R32" s="105">
        <f>R29+R31</f>
        <v>10600</v>
      </c>
      <c r="S32" s="106"/>
      <c r="T32" s="105">
        <f>T29</f>
        <v>10600</v>
      </c>
      <c r="U32" s="106"/>
      <c r="V32" s="105">
        <f>V29</f>
        <v>22450</v>
      </c>
      <c r="W32" s="106"/>
      <c r="X32" s="105">
        <f>X29+X31</f>
        <v>22450</v>
      </c>
      <c r="AF32" s="192" t="s">
        <v>22</v>
      </c>
      <c r="AG32" s="193"/>
      <c r="AH32" s="193"/>
      <c r="AI32" s="193"/>
      <c r="AJ32" s="193"/>
      <c r="AK32" s="193"/>
      <c r="AL32" s="194"/>
      <c r="AN32" s="205" t="s">
        <v>123</v>
      </c>
      <c r="AO32" s="206"/>
      <c r="AP32" s="206"/>
      <c r="AQ32" s="206"/>
      <c r="AR32" s="206"/>
      <c r="AS32" s="206"/>
    </row>
    <row r="33" spans="2:45" ht="21.75" thickTop="1" x14ac:dyDescent="0.35"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AF33" s="199" t="s">
        <v>40</v>
      </c>
      <c r="AG33" s="200"/>
      <c r="AH33" s="200"/>
      <c r="AI33" s="200"/>
      <c r="AJ33" s="200"/>
      <c r="AK33" s="200"/>
      <c r="AL33" s="201"/>
      <c r="AN33" s="207" t="s">
        <v>139</v>
      </c>
      <c r="AO33" s="208"/>
      <c r="AP33" s="208"/>
      <c r="AQ33" s="208"/>
      <c r="AR33" s="208"/>
      <c r="AS33" s="208"/>
    </row>
    <row r="34" spans="2:45" ht="18.75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AF34" s="199" t="s">
        <v>30</v>
      </c>
      <c r="AG34" s="200"/>
      <c r="AH34" s="200"/>
      <c r="AI34" s="200"/>
      <c r="AJ34" s="200"/>
      <c r="AK34" s="200"/>
      <c r="AL34" s="201"/>
      <c r="AN34" s="45" t="s">
        <v>56</v>
      </c>
      <c r="AO34" s="57" t="s">
        <v>87</v>
      </c>
      <c r="AP34" s="45" t="s">
        <v>65</v>
      </c>
      <c r="AQ34" s="45" t="s">
        <v>106</v>
      </c>
      <c r="AR34" s="45" t="s">
        <v>107</v>
      </c>
      <c r="AS34" s="45" t="s">
        <v>88</v>
      </c>
    </row>
    <row r="35" spans="2:45" ht="15.75" x14ac:dyDescent="0.25">
      <c r="AF35" s="204" t="s">
        <v>39</v>
      </c>
      <c r="AG35" s="202"/>
      <c r="AH35" s="202"/>
      <c r="AI35" s="202"/>
      <c r="AJ35" s="202"/>
      <c r="AK35" s="202"/>
      <c r="AL35" s="203"/>
      <c r="AN35" s="43" t="s">
        <v>91</v>
      </c>
      <c r="AO35" s="43"/>
      <c r="AP35" s="43" t="s">
        <v>89</v>
      </c>
      <c r="AQ35" s="58">
        <v>50</v>
      </c>
      <c r="AR35" s="58"/>
      <c r="AS35" s="58">
        <f>AQ35</f>
        <v>50</v>
      </c>
    </row>
    <row r="36" spans="2:45" x14ac:dyDescent="0.25">
      <c r="AF36" s="24" t="s">
        <v>0</v>
      </c>
      <c r="AG36" s="17"/>
      <c r="AH36" s="17"/>
      <c r="AI36" s="17"/>
      <c r="AJ36" s="17"/>
      <c r="AK36" s="17">
        <v>15200</v>
      </c>
      <c r="AL36" s="25"/>
      <c r="AN36" s="44"/>
      <c r="AO36" s="44"/>
      <c r="AP36" s="44"/>
      <c r="AQ36" s="59"/>
      <c r="AR36" s="59"/>
      <c r="AS36" s="59"/>
    </row>
    <row r="37" spans="2:45" x14ac:dyDescent="0.25">
      <c r="AF37" s="24" t="s">
        <v>2</v>
      </c>
      <c r="AG37" s="17"/>
      <c r="AH37" s="17"/>
      <c r="AI37" s="17"/>
      <c r="AJ37" s="17"/>
      <c r="AK37" s="17">
        <v>200</v>
      </c>
      <c r="AL37" s="25"/>
    </row>
    <row r="38" spans="2:45" x14ac:dyDescent="0.25">
      <c r="AF38" s="24" t="s">
        <v>3</v>
      </c>
      <c r="AG38" s="17"/>
      <c r="AH38" s="17"/>
      <c r="AI38" s="17"/>
      <c r="AJ38" s="17"/>
      <c r="AK38" s="17">
        <v>1000</v>
      </c>
      <c r="AL38" s="25"/>
    </row>
    <row r="39" spans="2:45" x14ac:dyDescent="0.25">
      <c r="AF39" s="24" t="s">
        <v>70</v>
      </c>
      <c r="AG39" s="17"/>
      <c r="AH39" s="17"/>
      <c r="AI39" s="17"/>
      <c r="AJ39" s="17"/>
      <c r="AK39" s="17">
        <v>550</v>
      </c>
      <c r="AL39" s="25"/>
    </row>
    <row r="40" spans="2:45" x14ac:dyDescent="0.25">
      <c r="AF40" s="24" t="s">
        <v>145</v>
      </c>
      <c r="AG40" s="17"/>
      <c r="AH40" s="17"/>
      <c r="AI40" s="17">
        <v>5000</v>
      </c>
      <c r="AJ40" s="17">
        <v>5000</v>
      </c>
      <c r="AK40" s="17"/>
      <c r="AL40" s="25"/>
    </row>
    <row r="41" spans="2:45" x14ac:dyDescent="0.25">
      <c r="AF41" s="24" t="s">
        <v>142</v>
      </c>
      <c r="AG41" s="17"/>
      <c r="AH41" s="17"/>
      <c r="AI41" s="2">
        <v>40</v>
      </c>
      <c r="AJ41" s="17">
        <v>40</v>
      </c>
      <c r="AK41" s="17">
        <v>4960</v>
      </c>
      <c r="AL41" s="25"/>
    </row>
    <row r="42" spans="2:45" ht="15.75" thickBot="1" x14ac:dyDescent="0.3">
      <c r="AF42" s="112" t="s">
        <v>36</v>
      </c>
      <c r="AG42" s="17"/>
      <c r="AH42" s="17"/>
      <c r="AI42" s="17"/>
      <c r="AJ42" s="17"/>
      <c r="AK42" s="110">
        <f>SUM(AK36:AK41)</f>
        <v>21910</v>
      </c>
      <c r="AL42" s="25"/>
    </row>
    <row r="43" spans="2:45" ht="15.75" thickTop="1" x14ac:dyDescent="0.25">
      <c r="AF43" s="24"/>
      <c r="AG43" s="17"/>
      <c r="AH43" s="17"/>
      <c r="AI43" s="17"/>
      <c r="AJ43" s="17"/>
      <c r="AK43" s="17"/>
      <c r="AL43" s="25"/>
    </row>
    <row r="44" spans="2:45" ht="15.75" x14ac:dyDescent="0.25">
      <c r="AF44" s="204" t="s">
        <v>193</v>
      </c>
      <c r="AG44" s="202"/>
      <c r="AH44" s="202"/>
      <c r="AI44" s="202"/>
      <c r="AJ44" s="202"/>
      <c r="AK44" s="202"/>
      <c r="AL44" s="203"/>
    </row>
    <row r="45" spans="2:45" x14ac:dyDescent="0.25">
      <c r="AF45" s="24" t="s">
        <v>146</v>
      </c>
      <c r="AG45" s="17"/>
      <c r="AH45" s="17"/>
      <c r="AI45" s="17">
        <v>5000</v>
      </c>
      <c r="AJ45" s="17"/>
      <c r="AK45" s="17"/>
      <c r="AL45" s="25"/>
    </row>
    <row r="46" spans="2:45" x14ac:dyDescent="0.25">
      <c r="AF46" s="24" t="s">
        <v>7</v>
      </c>
      <c r="AG46" s="17"/>
      <c r="AH46" s="17"/>
      <c r="AI46" s="17">
        <v>2500</v>
      </c>
      <c r="AJ46" s="17"/>
      <c r="AK46" s="17"/>
      <c r="AL46" s="25"/>
    </row>
    <row r="47" spans="2:45" x14ac:dyDescent="0.25">
      <c r="AF47" s="24" t="s">
        <v>85</v>
      </c>
      <c r="AG47" s="17"/>
      <c r="AH47" s="17"/>
      <c r="AI47" s="17">
        <v>50</v>
      </c>
      <c r="AJ47" s="17"/>
      <c r="AK47" s="17"/>
      <c r="AL47" s="25"/>
    </row>
    <row r="48" spans="2:45" x14ac:dyDescent="0.25">
      <c r="AF48" s="24" t="s">
        <v>147</v>
      </c>
      <c r="AG48" s="17"/>
      <c r="AH48" s="17"/>
      <c r="AI48" s="17">
        <v>800</v>
      </c>
      <c r="AJ48" s="17"/>
      <c r="AK48" s="17"/>
      <c r="AL48" s="25"/>
    </row>
    <row r="49" spans="32:38" x14ac:dyDescent="0.25">
      <c r="AF49" s="24" t="s">
        <v>148</v>
      </c>
      <c r="AG49" s="17"/>
      <c r="AH49" s="17"/>
      <c r="AI49" s="17">
        <v>1200</v>
      </c>
      <c r="AJ49" s="17"/>
      <c r="AK49" s="17"/>
      <c r="AL49" s="25"/>
    </row>
    <row r="50" spans="32:38" x14ac:dyDescent="0.25">
      <c r="AF50" s="24" t="s">
        <v>176</v>
      </c>
      <c r="AG50" s="17"/>
      <c r="AH50" s="17"/>
      <c r="AI50" s="41"/>
      <c r="AJ50" s="17"/>
      <c r="AK50" s="111">
        <f>SUM(AI45:AI49)</f>
        <v>9550</v>
      </c>
      <c r="AL50" s="25"/>
    </row>
    <row r="51" spans="32:38" x14ac:dyDescent="0.25">
      <c r="AF51" s="24" t="s">
        <v>190</v>
      </c>
      <c r="AG51" s="17"/>
      <c r="AH51" s="17"/>
      <c r="AI51" s="17"/>
      <c r="AJ51" s="17"/>
      <c r="AK51" s="17"/>
      <c r="AL51" s="25"/>
    </row>
    <row r="52" spans="32:38" x14ac:dyDescent="0.25">
      <c r="AF52" s="24"/>
      <c r="AG52" s="17" t="s">
        <v>191</v>
      </c>
      <c r="AH52" s="17"/>
      <c r="AI52" s="17"/>
      <c r="AJ52" s="17"/>
      <c r="AK52" s="17">
        <v>12360</v>
      </c>
      <c r="AL52" s="25"/>
    </row>
    <row r="53" spans="32:38" ht="15.75" thickBot="1" x14ac:dyDescent="0.3">
      <c r="AF53" s="24" t="s">
        <v>192</v>
      </c>
      <c r="AG53" s="17"/>
      <c r="AH53" s="17"/>
      <c r="AI53" s="17"/>
      <c r="AJ53" s="17"/>
      <c r="AK53" s="110">
        <f>SUM(AK47:AK52)</f>
        <v>21910</v>
      </c>
      <c r="AL53" s="25"/>
    </row>
    <row r="54" spans="32:38" ht="15.75" thickTop="1" x14ac:dyDescent="0.25">
      <c r="AF54" s="29"/>
      <c r="AG54" s="2"/>
      <c r="AH54" s="2"/>
      <c r="AI54" s="2"/>
      <c r="AJ54" s="2"/>
      <c r="AK54" s="2"/>
      <c r="AL54" s="5"/>
    </row>
  </sheetData>
  <mergeCells count="35">
    <mergeCell ref="AN33:AS33"/>
    <mergeCell ref="AU8:BA8"/>
    <mergeCell ref="AU9:BA9"/>
    <mergeCell ref="AU15:BA15"/>
    <mergeCell ref="AU16:BA16"/>
    <mergeCell ref="AN14:AS14"/>
    <mergeCell ref="AN15:AS15"/>
    <mergeCell ref="AN20:AS20"/>
    <mergeCell ref="AN21:AS21"/>
    <mergeCell ref="AN26:AS26"/>
    <mergeCell ref="AN2:AS2"/>
    <mergeCell ref="AN3:AS3"/>
    <mergeCell ref="AN8:AS8"/>
    <mergeCell ref="AN9:AS9"/>
    <mergeCell ref="AF32:AL32"/>
    <mergeCell ref="AN27:AS27"/>
    <mergeCell ref="AN32:AS32"/>
    <mergeCell ref="AF33:AL33"/>
    <mergeCell ref="AF34:AL34"/>
    <mergeCell ref="AF35:AL35"/>
    <mergeCell ref="AF44:AL44"/>
    <mergeCell ref="AF2:AL2"/>
    <mergeCell ref="AF3:AL3"/>
    <mergeCell ref="AF4:AL4"/>
    <mergeCell ref="AF20:AL20"/>
    <mergeCell ref="AF21:AL21"/>
    <mergeCell ref="AF22:AL22"/>
    <mergeCell ref="Z2:AC2"/>
    <mergeCell ref="Z25:AD25"/>
    <mergeCell ref="N3:P3"/>
    <mergeCell ref="R3:T3"/>
    <mergeCell ref="V3:X3"/>
    <mergeCell ref="B2:X2"/>
    <mergeCell ref="I3:L3"/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Accounting in Action 1</vt:lpstr>
      <vt:lpstr>f</vt:lpstr>
      <vt:lpstr>The Recording Process 2</vt:lpstr>
      <vt:lpstr>Adjusting the Accounts 3</vt:lpstr>
      <vt:lpstr>3</vt:lpstr>
      <vt:lpstr>4</vt:lpstr>
      <vt:lpstr>Completing the Accounting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2026-03-13T23:17:45Z</dcterms:modified>
</cp:coreProperties>
</file>